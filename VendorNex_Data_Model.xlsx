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4000" windowHeight="9015" firstSheet="25" activeTab="25"/>
  </bookViews>
  <sheets>
    <sheet name="Index" sheetId="1" r:id="rId1"/>
    <sheet name="companies" sheetId="2" r:id="rId2"/>
    <sheet name="company_settings" sheetId="3" r:id="rId3"/>
    <sheet name="global_users" sheetId="4" r:id="rId4"/>
    <sheet name="login_activity" sheetId="5" r:id="rId5"/>
    <sheet name="jwt_tokens (global)" sheetId="6" r:id="rId6"/>
    <sheet name="b1_sessions" sheetId="7" r:id="rId7"/>
    <sheet name="schema_migrations" sheetId="8" r:id="rId8"/>
    <sheet name="vendors" sheetId="9" r:id="rId9"/>
    <sheet name="users" sheetId="10" r:id="rId10"/>
    <sheet name="user_approval_stages" sheetId="11" r:id="rId11"/>
    <sheet name="doc_sequences" sheetId="12" r:id="rId12"/>
    <sheet name="sap_warehouses" sheetId="13" r:id="rId13"/>
    <sheet name="sap_items" sheetId="14" r:id="rId14"/>
    <sheet name="sap_item_stock" sheetId="15" r:id="rId15"/>
    <sheet name="sap_vendor_groups" sheetId="16" r:id="rId16"/>
    <sheet name="sap_business_partners" sheetId="17" r:id="rId17"/>
    <sheet name="sap_employees" sheetId="18" r:id="rId18"/>
    <sheet name="sap_tax_codes" sheetId="19" r:id="rId19"/>
    <sheet name="vendor_documents" sheetId="20" r:id="rId20"/>
    <sheet name="approval_steps" sheetId="21" r:id="rId21"/>
    <sheet name="purchase_requests" sheetId="22" r:id="rId22"/>
    <sheet name="purchase_request_lines" sheetId="23" r:id="rId23"/>
    <sheet name="rfqs" sheetId="24" r:id="rId24"/>
    <sheet name="rfq_lines" sheetId="25" r:id="rId25"/>
    <sheet name="rfq_line_sources" sheetId="26" r:id="rId26"/>
    <sheet name="rfq_vendors" sheetId="27" r:id="rId27"/>
    <sheet name="quotations" sheetId="28" r:id="rId28"/>
    <sheet name="quotation_lines" sheetId="29" r:id="rId29"/>
    <sheet name="rfq_awards" sheetId="30" r:id="rId30"/>
    <sheet name="purchase_orders" sheetId="31" r:id="rId31"/>
    <sheet name="purchase_order_lines" sheetId="32" r:id="rId32"/>
    <sheet name="asns" sheetId="33" r:id="rId33"/>
    <sheet name="asn_lines" sheetId="34" r:id="rId34"/>
    <sheet name="grpos" sheetId="35" r:id="rId35"/>
    <sheet name="grpo_lines" sheetId="36" r:id="rId36"/>
    <sheet name="vendor_score_snapshots" sheetId="37" r:id="rId37"/>
    <sheet name="sync_runs" sheetId="38" r:id="rId38"/>
    <sheet name="sync_transactions" sheetId="39" r:id="rId39"/>
    <sheet name="jwt_tokens (tenant)" sheetId="40" r:id="rId40"/>
  </sheets>
  <calcPr calcId="152511"/>
</workbook>
</file>

<file path=xl/calcChain.xml><?xml version="1.0" encoding="utf-8"?>
<calcChain xmlns="http://schemas.openxmlformats.org/spreadsheetml/2006/main">
  <c r="B46" i="1" l="1"/>
  <c r="B45" i="1"/>
</calcChain>
</file>

<file path=xl/sharedStrings.xml><?xml version="1.0" encoding="utf-8"?>
<sst xmlns="http://schemas.openxmlformats.org/spreadsheetml/2006/main" count="3042" uniqueCount="741">
  <si>
    <t>VendorNex - Data Model</t>
  </si>
  <si>
    <t>Source: db/migration/V1__init.sql (ik_vendor global schema), db/tenant/T1__init.sql (per-company tenant schema), db/Migrator.java (schema_migrations). Tenant = table is created once per company in its own Postgres schema (vnx_cNNNNN). Global = single table in ik_vendor shared by all companies. Tenant tables still carry company_id columns.</t>
  </si>
  <si>
    <t>Table name (click)</t>
  </si>
  <si>
    <t>Tenant table?</t>
  </si>
  <si>
    <t>Schema</t>
  </si>
  <si>
    <t>Category</t>
  </si>
  <si>
    <t>Purpose</t>
  </si>
  <si>
    <t>Columns</t>
  </si>
  <si>
    <t>References (FK to)</t>
  </si>
  <si>
    <t>companies</t>
  </si>
  <si>
    <t>Global (non-tenant)</t>
  </si>
  <si>
    <t>ik_vendor</t>
  </si>
  <si>
    <t>App-owned (tenant root)</t>
  </si>
  <si>
    <t>One row per onboarded company; holds SAP B1 Service Layer connection details and the tenant schema name (schema_id).</t>
  </si>
  <si>
    <t/>
  </si>
  <si>
    <t>company_settings</t>
  </si>
  <si>
    <t>App-owned</t>
  </si>
  <si>
    <t>1:1 with companies. Approval stages, PR mode, BP numbering, default warehouse/tax, currency, sync interval.</t>
  </si>
  <si>
    <t>global_users</t>
  </si>
  <si>
    <t>App-owned (auth)</t>
  </si>
  <si>
    <t>The only table authentication reads. SUPER_ADMIN lives here only; company users are mirrored from each tenant users table by triggers.</t>
  </si>
  <si>
    <t>login_activity</t>
  </si>
  <si>
    <t>App-owned (audit)</t>
  </si>
  <si>
    <t>Login / logout / failed-login / invite-accepted audit trail.</t>
  </si>
  <si>
    <t>companies, global_users</t>
  </si>
  <si>
    <t>jwt_tokens (global)</t>
  </si>
  <si>
    <t>SUPER_ADMIN session tokens only (hash only, never the raw JWT).</t>
  </si>
  <si>
    <t>b1_sessions</t>
  </si>
  <si>
    <t>SAP B1 Service Layer session per company (table only; sessions still kept in memory).</t>
  </si>
  <si>
    <t>schema_migrations</t>
  </si>
  <si>
    <t>System</t>
  </si>
  <si>
    <t>Migration bookkeeping, created by Migrator.java: version, checksum, applied_at.</t>
  </si>
  <si>
    <t>vendors</t>
  </si>
  <si>
    <t>Tenant</t>
  </si>
  <si>
    <t>&lt;tenant schema&gt; (vnx_c00001, vnx_c00002 ...)</t>
  </si>
  <si>
    <t>Vendor master; becomes / links to a B1 Business Partner (OCRD, CardType = S).</t>
  </si>
  <si>
    <t>users</t>
  </si>
  <si>
    <t>Company users (no SAP B1 licence consumed). Mirrored to ik_vendor.global_users by trigger.</t>
  </si>
  <si>
    <t>companies, vendors</t>
  </si>
  <si>
    <t>user_approval_stages</t>
  </si>
  <si>
    <t>Which approval stages an APPROVER may act on.</t>
  </si>
  <si>
    <t>doc_sequences</t>
  </si>
  <si>
    <t>Human-readable number sequences for PR / RFQ / ASN.</t>
  </si>
  <si>
    <t>sap_warehouses</t>
  </si>
  <si>
    <t>Synced (read from SAP B1)</t>
  </si>
  <si>
    <t>OWHS warehouses; refreshed by master-sync job.</t>
  </si>
  <si>
    <t>sap_items</t>
  </si>
  <si>
    <t>OITM purchase items; refreshed by master-sync job.</t>
  </si>
  <si>
    <t>sap_item_stock</t>
  </si>
  <si>
    <t>OITW stock per item/warehouse.</t>
  </si>
  <si>
    <t>sap_vendor_groups</t>
  </si>
  <si>
    <t>OCRG vendor groups.</t>
  </si>
  <si>
    <t>sap_business_partners</t>
  </si>
  <si>
    <t>OCRD vendors (CardType = S).</t>
  </si>
  <si>
    <t>sap_employees</t>
  </si>
  <si>
    <t>OHEM employees (requester identity in B1_SYNC mode).</t>
  </si>
  <si>
    <t>sap_tax_codes</t>
  </si>
  <si>
    <t>VatGroups / OSTC input tax codes.</t>
  </si>
  <si>
    <t>vendor_documents</t>
  </si>
  <si>
    <t>Vendor onboarding uploads (GST, PAN, MSME, etc.).</t>
  </si>
  <si>
    <t>companies, users, vendors</t>
  </si>
  <si>
    <t>approval_steps</t>
  </si>
  <si>
    <t>One row per (entity, stage) in the configured approval chain; round increments on resubmission.</t>
  </si>
  <si>
    <t>companies, users</t>
  </si>
  <si>
    <t>purchase_requests</t>
  </si>
  <si>
    <t>App-owned (APP mode) / Mirrored (B1_SYNC, OPRQ)</t>
  </si>
  <si>
    <t>Purchase request header.</t>
  </si>
  <si>
    <t>purchase_request_lines</t>
  </si>
  <si>
    <t>App-owned / Mirrored (PRQ1)</t>
  </si>
  <si>
    <t>PR lines; sourced_qty = quantity already moved into an RFQ or PO.</t>
  </si>
  <si>
    <t>rfqs</t>
  </si>
  <si>
    <t>RFQ header (created in RfqController.create).</t>
  </si>
  <si>
    <t>rfq_lines</t>
  </si>
  <si>
    <t>Items requested in an RFQ.</t>
  </si>
  <si>
    <t>rfq_line_sources</t>
  </si>
  <si>
    <t>Which PR lines fed which RFQ line. Only written when the RFQ line is built from PR lines (sources[] in the request).</t>
  </si>
  <si>
    <t>purchase_request_lines, rfq_lines</t>
  </si>
  <si>
    <t>rfq_vendors</t>
  </si>
  <si>
    <t>Vendors invited to an RFQ.</t>
  </si>
  <si>
    <t>rfqs, vendors</t>
  </si>
  <si>
    <t>quotations</t>
  </si>
  <si>
    <t>One quotation per (RFQ, vendor); revision increments on re-submit.</t>
  </si>
  <si>
    <t>quotation_lines</t>
  </si>
  <si>
    <t>Vendor price/qty per RFQ line; deleted and re-inserted on every re-submit (RfqController.submitQuote).</t>
  </si>
  <si>
    <t>quotations, rfq_lines</t>
  </si>
  <si>
    <t>rfq_awards</t>
  </si>
  <si>
    <t>Line-level award; an RFQ line can be split across vendors.</t>
  </si>
  <si>
    <t>purchase_orders, quotations, rfq_lines, rfqs, users, vendors</t>
  </si>
  <si>
    <t>purchase_orders</t>
  </si>
  <si>
    <t>Mirrored (OPOR)</t>
  </si>
  <si>
    <t>PO header; B1 DocNum is authoritative.</t>
  </si>
  <si>
    <t>companies, rfqs, users, vendors</t>
  </si>
  <si>
    <t>purchase_order_lines</t>
  </si>
  <si>
    <t>Mirrored (POR1)</t>
  </si>
  <si>
    <t>PO lines with shipped / received quantities.</t>
  </si>
  <si>
    <t>purchase_orders, purchase_request_lines</t>
  </si>
  <si>
    <t>asns</t>
  </si>
  <si>
    <t>Advance Shipping Notice header submitted by vendor.</t>
  </si>
  <si>
    <t>companies, purchase_orders, users</t>
  </si>
  <si>
    <t>asn_lines</t>
  </si>
  <si>
    <t>ASN lines per PO line.</t>
  </si>
  <si>
    <t>asns, purchase_order_lines</t>
  </si>
  <si>
    <t>grpos</t>
  </si>
  <si>
    <t>App-owned (posts to B1 Drafts -&gt; OPDN)</t>
  </si>
  <si>
    <t>Goods Receipt PO header.</t>
  </si>
  <si>
    <t>asns, companies, purchase_orders, users</t>
  </si>
  <si>
    <t>grpo_lines</t>
  </si>
  <si>
    <t>GRPO lines: received / rejected quantities.</t>
  </si>
  <si>
    <t>grpos, purchase_order_lines</t>
  </si>
  <si>
    <t>vendor_score_snapshots</t>
  </si>
  <si>
    <t>Derived</t>
  </si>
  <si>
    <t>Monthly vendor scorecard roll-up.</t>
  </si>
  <si>
    <t>sync_runs</t>
  </si>
  <si>
    <t>App-owned (log)</t>
  </si>
  <si>
    <t>One row per master-data pull.</t>
  </si>
  <si>
    <t>sync_transactions</t>
  </si>
  <si>
    <t>App-owned (outbox)</t>
  </si>
  <si>
    <t>One row per Service Layer write; worker claims with FOR UPDATE SKIP LOCKED.</t>
  </si>
  <si>
    <t>jwt_tokens (tenant)</t>
  </si>
  <si>
    <t>Session tokens for this company's users (hash only, never the raw JWT).</t>
  </si>
  <si>
    <t>Tenant tables</t>
  </si>
  <si>
    <t>Global tables</t>
  </si>
  <si>
    <t>Table ID</t>
  </si>
  <si>
    <t>&lt;&lt; Back to Index</t>
  </si>
  <si>
    <t>Field Name</t>
  </si>
  <si>
    <t>Data Type</t>
  </si>
  <si>
    <t>Description</t>
  </si>
  <si>
    <t>Constraints</t>
  </si>
  <si>
    <t>Comments</t>
  </si>
  <si>
    <t>Is Indexing</t>
  </si>
  <si>
    <t>id</t>
  </si>
  <si>
    <t>UUID</t>
  </si>
  <si>
    <t>Unique identifier, autogenerated</t>
  </si>
  <si>
    <t>Primary Key, Not Null</t>
  </si>
  <si>
    <t>Yes(auto)</t>
  </si>
  <si>
    <t>schema_id</t>
  </si>
  <si>
    <t>Varchar (30)</t>
  </si>
  <si>
    <t>Schema ID</t>
  </si>
  <si>
    <t>Unique</t>
  </si>
  <si>
    <t>this company's Postgres schema</t>
  </si>
  <si>
    <t>name</t>
  </si>
  <si>
    <t>Varchar (200)</t>
  </si>
  <si>
    <t>Name</t>
  </si>
  <si>
    <t>Not Null</t>
  </si>
  <si>
    <t>industry</t>
  </si>
  <si>
    <t>Varchar (100)</t>
  </si>
  <si>
    <t>Industry</t>
  </si>
  <si>
    <t>integration_mode</t>
  </si>
  <si>
    <t>Varchar (20)</t>
  </si>
  <si>
    <t>Integration Mode</t>
  </si>
  <si>
    <t>Allowed: MOCK, SERVICE_LAYER; Default: 'MOCK'</t>
  </si>
  <si>
    <t>service_layer_base_url</t>
  </si>
  <si>
    <t>Varchar (500)</t>
  </si>
  <si>
    <t>Service Layer Base URL</t>
  </si>
  <si>
    <t>sap_company_db</t>
  </si>
  <si>
    <t>SAP Company DB</t>
  </si>
  <si>
    <t>sl_username</t>
  </si>
  <si>
    <t>SL Username</t>
  </si>
  <si>
    <t>sl_password_enc</t>
  </si>
  <si>
    <t>Text</t>
  </si>
  <si>
    <t>SL Password (encrypted)</t>
  </si>
  <si>
    <t>AES-256-GCM, never plaintext</t>
  </si>
  <si>
    <t>sl_verify_tls</t>
  </si>
  <si>
    <t>Boolean</t>
  </si>
  <si>
    <t>SL Verify TLS</t>
  </si>
  <si>
    <t>Default: TRUE</t>
  </si>
  <si>
    <t>connection_status</t>
  </si>
  <si>
    <t>Connection Status</t>
  </si>
  <si>
    <t>Allowed: NOT_TESTED, OK, FAILED; Default: 'NOT_TESTED'</t>
  </si>
  <si>
    <t>connection_message</t>
  </si>
  <si>
    <t>Varchar (1000)</t>
  </si>
  <si>
    <t>Connection Message</t>
  </si>
  <si>
    <t>sap_b1_version</t>
  </si>
  <si>
    <t>Varchar (50)</t>
  </si>
  <si>
    <t>SAP B1 Version</t>
  </si>
  <si>
    <t>last_tested_at</t>
  </si>
  <si>
    <t>Date Time</t>
  </si>
  <si>
    <t>Last Tested At</t>
  </si>
  <si>
    <t>is_active</t>
  </si>
  <si>
    <t>Is Active</t>
  </si>
  <si>
    <t>onboarded_on</t>
  </si>
  <si>
    <t>Date</t>
  </si>
  <si>
    <t>Onboarded On</t>
  </si>
  <si>
    <t>Default: CURRENT_DATE</t>
  </si>
  <si>
    <t>created_at</t>
  </si>
  <si>
    <t>Created At</t>
  </si>
  <si>
    <t>Default: now()</t>
  </si>
  <si>
    <t>updated_at</t>
  </si>
  <si>
    <t>Updated At</t>
  </si>
  <si>
    <t>company_id</t>
  </si>
  <si>
    <t>Company ID</t>
  </si>
  <si>
    <t>Primary Key, FK â†’ ik_vendor.companies (id), Not Null</t>
  </si>
  <si>
    <t>pr_mode</t>
  </si>
  <si>
    <t>PR Mode</t>
  </si>
  <si>
    <t>Allowed: APP, B1_SYNC; Default: 'APP'</t>
  </si>
  <si>
    <t>push_pr_to_b1</t>
  </si>
  <si>
    <t>Push PR To B1</t>
  </si>
  <si>
    <t>Default: FALSE</t>
  </si>
  <si>
    <t>vendor_approval_stages</t>
  </si>
  <si>
    <t>Varchar (20) Array</t>
  </si>
  <si>
    <t>Vendor Approval Stages</t>
  </si>
  <si>
    <t>Default: ARRAY['FINANCE','PROCUREMENT']</t>
  </si>
  <si>
    <t>requester_approval_stages</t>
  </si>
  <si>
    <t>Requester Approval Stages</t>
  </si>
  <si>
    <t>Default: ARRAY['FINANCE']</t>
  </si>
  <si>
    <t>pr_approval_stages</t>
  </si>
  <si>
    <t>PR Approval Stages</t>
  </si>
  <si>
    <t>Default: ARRAY['ADMIN']</t>
  </si>
  <si>
    <t>bp_series</t>
  </si>
  <si>
    <t>Integer</t>
  </si>
  <si>
    <t>BP Series</t>
  </si>
  <si>
    <t>B1 numbering series for new vendors; NULL = manual code</t>
  </si>
  <si>
    <t>bp_code_prefix</t>
  </si>
  <si>
    <t>Varchar (10)</t>
  </si>
  <si>
    <t>BP Code Prefix</t>
  </si>
  <si>
    <t>Default: 'V'</t>
  </si>
  <si>
    <t>bp_code_next</t>
  </si>
  <si>
    <t>BP Code Next</t>
  </si>
  <si>
    <t>Default: 20001</t>
  </si>
  <si>
    <t>default_warehouse_code</t>
  </si>
  <si>
    <t>Default Warehouse Code</t>
  </si>
  <si>
    <t>default_tax_code</t>
  </si>
  <si>
    <t>Default Tax Code</t>
  </si>
  <si>
    <t>india_localization</t>
  </si>
  <si>
    <t>India Localization</t>
  </si>
  <si>
    <t>GSTIN on BPAddresses, PAN in BPFiscalTaxIDCollection; Default: TRUE</t>
  </si>
  <si>
    <t>currency</t>
  </si>
  <si>
    <t>Varchar (3)</t>
  </si>
  <si>
    <t>Currency</t>
  </si>
  <si>
    <t>Default: 'INR'</t>
  </si>
  <si>
    <t>master_sync_interval_min</t>
  </si>
  <si>
    <t>Master Sync Interval (min)</t>
  </si>
  <si>
    <t>Check: master_sync_interval_min &gt;= 5; Default: 30</t>
  </si>
  <si>
    <t>FK â†’ ik_vendor.companies (id)</t>
  </si>
  <si>
    <t>NULL only for SUPER_ADMIN</t>
  </si>
  <si>
    <t>Yes</t>
  </si>
  <si>
    <t>Varchar (150)</t>
  </si>
  <si>
    <t>email</t>
  </si>
  <si>
    <t>Email</t>
  </si>
  <si>
    <t>password_hash</t>
  </si>
  <si>
    <t>Password Hash</t>
  </si>
  <si>
    <t>bcrypt; NULL until invite accepted</t>
  </si>
  <si>
    <t>role</t>
  </si>
  <si>
    <t>Role</t>
  </si>
  <si>
    <t>Allowed: SUPER_ADMIN, ADMIN, APPROVER, REQUESTER, VENDOR</t>
  </si>
  <si>
    <t>status</t>
  </si>
  <si>
    <t>Status</t>
  </si>
  <si>
    <t>Allowed: INVITED, PENDING_APPROVAL, ACTIVE, REJECTED, DISABLED; Default: 'INVITED'</t>
  </si>
  <si>
    <t>vendor_id</t>
  </si>
  <si>
    <t>Vendor ID</t>
  </si>
  <si>
    <t>set when role = VENDOR (row lives in the tenant schema)</t>
  </si>
  <si>
    <t>department</t>
  </si>
  <si>
    <t>Department</t>
  </si>
  <si>
    <t>requesters</t>
  </si>
  <si>
    <t>sap_employee_id</t>
  </si>
  <si>
    <t>SAP Employee ID</t>
  </si>
  <si>
    <t>OHEM.empID, optional mapping for PR push</t>
  </si>
  <si>
    <t>invite_token</t>
  </si>
  <si>
    <t>Varchar (80)</t>
  </si>
  <si>
    <t>Invite Token</t>
  </si>
  <si>
    <t>invite_expires_at</t>
  </si>
  <si>
    <t>Invite Expires At</t>
  </si>
  <si>
    <t>rejection_reason</t>
  </si>
  <si>
    <t>Rejection Reason</t>
  </si>
  <si>
    <t>last_login_at</t>
  </si>
  <si>
    <t>Last Login At</t>
  </si>
  <si>
    <t>Table constraint</t>
  </si>
  <si>
    <t>CHECK ((role = 'SUPER_ADMIN') = (company_id IS NULL))</t>
  </si>
  <si>
    <t>CHECK ((role = 'VENDOR') = (vendor_id IS NOT NULL))</t>
  </si>
  <si>
    <t>user_id</t>
  </si>
  <si>
    <t>User ID</t>
  </si>
  <si>
    <t>FK â†’ ik_vendor.global_users (id)</t>
  </si>
  <si>
    <t>event</t>
  </si>
  <si>
    <t>Event</t>
  </si>
  <si>
    <t>Allowed: LOGIN, LOGIN_FAILED, LOGOUT, INVITE_ACCEPTED</t>
  </si>
  <si>
    <t>ip_address</t>
  </si>
  <si>
    <t>Varchar (64)</t>
  </si>
  <si>
    <t>IP Address</t>
  </si>
  <si>
    <t>user_agent</t>
  </si>
  <si>
    <t>Varchar (400)</t>
  </si>
  <si>
    <t>User Agent</t>
  </si>
  <si>
    <t>occurred_at</t>
  </si>
  <si>
    <t>Occurred At</t>
  </si>
  <si>
    <t>jwt_tokens</t>
  </si>
  <si>
    <t>FK â†’ ik_vendor.global_users (id), Not Null</t>
  </si>
  <si>
    <t>token_hash</t>
  </si>
  <si>
    <t>Token Hash</t>
  </si>
  <si>
    <t>issued_at</t>
  </si>
  <si>
    <t>Issued At</t>
  </si>
  <si>
    <t>expires_at</t>
  </si>
  <si>
    <t>Expires At</t>
  </si>
  <si>
    <t>sap_username</t>
  </si>
  <si>
    <t>SAP Username</t>
  </si>
  <si>
    <t>session_id</t>
  </si>
  <si>
    <t>Session ID</t>
  </si>
  <si>
    <t>sap_db</t>
  </si>
  <si>
    <t>SAP DB</t>
  </si>
  <si>
    <t>version</t>
  </si>
  <si>
    <t>Version</t>
  </si>
  <si>
    <t>applied_at</t>
  </si>
  <si>
    <t>Applied At</t>
  </si>
  <si>
    <t>checksum VARCHAR(64) NOT NULL</t>
  </si>
  <si>
    <t>(inside tenant schema)</t>
  </si>
  <si>
    <t>FK â†’ companies (id), Not Null</t>
  </si>
  <si>
    <t>legal_name</t>
  </si>
  <si>
    <t>Legal Name</t>
  </si>
  <si>
    <t>contact_name</t>
  </si>
  <si>
    <t>Contact Name</t>
  </si>
  <si>
    <t>phone</t>
  </si>
  <si>
    <t>Varchar (40)</t>
  </si>
  <si>
    <t>Phone</t>
  </si>
  <si>
    <t>link_type</t>
  </si>
  <si>
    <t>Link Type</t>
  </si>
  <si>
    <t>Allowed: NEW, EXISTING; Default: 'NEW'</t>
  </si>
  <si>
    <t>sap_card_code</t>
  </si>
  <si>
    <t>Varchar (15)</t>
  </si>
  <si>
    <t>SAP Card Code</t>
  </si>
  <si>
    <t>OCRD.CardCode once created / linked</t>
  </si>
  <si>
    <t>sap_bp_status</t>
  </si>
  <si>
    <t>SAP BP Status</t>
  </si>
  <si>
    <t>Allowed: ACTIVE, INACTIVE</t>
  </si>
  <si>
    <t>vendor_group_code</t>
  </si>
  <si>
    <t>Vendor Group Code</t>
  </si>
  <si>
    <t>OCRG.GroupCode (synced list)</t>
  </si>
  <si>
    <t>vendor_group_name</t>
  </si>
  <si>
    <t>Vendor Group Name</t>
  </si>
  <si>
    <t>street</t>
  </si>
  <si>
    <t>Street</t>
  </si>
  <si>
    <t>city</t>
  </si>
  <si>
    <t>City</t>
  </si>
  <si>
    <t>state</t>
  </si>
  <si>
    <t>State</t>
  </si>
  <si>
    <t>zip_code</t>
  </si>
  <si>
    <t>Zip Code</t>
  </si>
  <si>
    <t>country</t>
  </si>
  <si>
    <t>Country</t>
  </si>
  <si>
    <t>gstin</t>
  </si>
  <si>
    <t>GSTIN</t>
  </si>
  <si>
    <t>pan</t>
  </si>
  <si>
    <t>PAN</t>
  </si>
  <si>
    <t>bank_name</t>
  </si>
  <si>
    <t>Bank Name</t>
  </si>
  <si>
    <t>bank_account_no</t>
  </si>
  <si>
    <t>Bank Account No.</t>
  </si>
  <si>
    <t>bank_ifsc</t>
  </si>
  <si>
    <t>Varchar (11)</t>
  </si>
  <si>
    <t>Bank IFSC</t>
  </si>
  <si>
    <t>sap_bank_code</t>
  </si>
  <si>
    <t>SAP Bank Code</t>
  </si>
  <si>
    <t>ODSC.BankCode — needed to push bank details to B1</t>
  </si>
  <si>
    <t>Varchar (25)</t>
  </si>
  <si>
    <t>Allowed: DRAFT, PENDING_APPROVAL, SAP_SYNC_PENDING, SAP_SYNC_FAILED, ACTIVE, REJECTED, INACTIVE; Default: 'DRAFT'</t>
  </si>
  <si>
    <t>wizard_step</t>
  </si>
  <si>
    <t>Smallint</t>
  </si>
  <si>
    <t>Wizard Step</t>
  </si>
  <si>
    <t>Default: 1</t>
  </si>
  <si>
    <t>created_by_user_id</t>
  </si>
  <si>
    <t>Created By User ID</t>
  </si>
  <si>
    <t>invited_on</t>
  </si>
  <si>
    <t>Invited On</t>
  </si>
  <si>
    <t>activated_at</t>
  </si>
  <si>
    <t>Activated At</t>
  </si>
  <si>
    <t>FK â†’ companies (id)</t>
  </si>
  <si>
    <t>FK â†’ vendors (id)</t>
  </si>
  <si>
    <t>set when role = VENDOR</t>
  </si>
  <si>
    <t>Primary Key (composite), FK â†’ users (id), Not Null</t>
  </si>
  <si>
    <t>stage</t>
  </si>
  <si>
    <t>Stage</t>
  </si>
  <si>
    <t>Primary Key (composite), Not Null</t>
  </si>
  <si>
    <t>Allowed: FINANCE, PROCUREMENT, COMPLIANCE</t>
  </si>
  <si>
    <t>Composite Primary Key</t>
  </si>
  <si>
    <t>user_id, stage</t>
  </si>
  <si>
    <t>Primary Key (composite), FK â†’ companies (id), Not Null</t>
  </si>
  <si>
    <t>doc_type</t>
  </si>
  <si>
    <t>Doc Type</t>
  </si>
  <si>
    <t>Allowed: PR, RFQ, ASN</t>
  </si>
  <si>
    <t>prefix</t>
  </si>
  <si>
    <t>Prefix</t>
  </si>
  <si>
    <t>next_value</t>
  </si>
  <si>
    <t>Next Value</t>
  </si>
  <si>
    <t>company_id, doc_type</t>
  </si>
  <si>
    <t>OWHS</t>
  </si>
  <si>
    <t>warehouse_code</t>
  </si>
  <si>
    <t>Varchar (8)</t>
  </si>
  <si>
    <t>Warehouse Code</t>
  </si>
  <si>
    <t>warehouse_name</t>
  </si>
  <si>
    <t>Warehouse Name</t>
  </si>
  <si>
    <t>last_synced_at</t>
  </si>
  <si>
    <t>Last Synced At</t>
  </si>
  <si>
    <t>company_id, warehouse_code</t>
  </si>
  <si>
    <t>OITM (purchase items)</t>
  </si>
  <si>
    <t>item_code</t>
  </si>
  <si>
    <t>Item Code</t>
  </si>
  <si>
    <t>item_name</t>
  </si>
  <si>
    <t>Item Name</t>
  </si>
  <si>
    <t>item_group_code</t>
  </si>
  <si>
    <t>Item Group Code</t>
  </si>
  <si>
    <t>item_group_name</t>
  </si>
  <si>
    <t>Item Group Name</t>
  </si>
  <si>
    <t>purchase_uom</t>
  </si>
  <si>
    <t>Purchase UOM</t>
  </si>
  <si>
    <t>inventory_uom</t>
  </si>
  <si>
    <t>Inventory UOM</t>
  </si>
  <si>
    <t>avg_price</t>
  </si>
  <si>
    <t>Numeric (19,6)</t>
  </si>
  <si>
    <t>Avg Price</t>
  </si>
  <si>
    <t>OITM.AvgPrice (Service Layer: AvgStdPrice), baseline for price variance</t>
  </si>
  <si>
    <t>company_id, item_code</t>
  </si>
  <si>
    <t>Primary Key (composite), FK â†’ sap_items (company_id, item_code), Not Null</t>
  </si>
  <si>
    <t>OITW</t>
  </si>
  <si>
    <t>in_stock</t>
  </si>
  <si>
    <t>In Stock</t>
  </si>
  <si>
    <t>Default: 0</t>
  </si>
  <si>
    <t>committed</t>
  </si>
  <si>
    <t>Committed</t>
  </si>
  <si>
    <t>ordered</t>
  </si>
  <si>
    <t>Ordered</t>
  </si>
  <si>
    <t>company_id, item_code, warehouse_code</t>
  </si>
  <si>
    <t>OCRG, Type = vendor</t>
  </si>
  <si>
    <t>group_code</t>
  </si>
  <si>
    <t>Group Code</t>
  </si>
  <si>
    <t>group_name</t>
  </si>
  <si>
    <t>Group Name</t>
  </si>
  <si>
    <t>company_id, group_code</t>
  </si>
  <si>
    <t>OCRD, CardType = S</t>
  </si>
  <si>
    <t>card_code</t>
  </si>
  <si>
    <t>Card Code</t>
  </si>
  <si>
    <t>card_name</t>
  </si>
  <si>
    <t>Card Name</t>
  </si>
  <si>
    <t>Valid = tYES and Frozen = tNO; Default: TRUE</t>
  </si>
  <si>
    <t>federal_tax_id</t>
  </si>
  <si>
    <t>Varchar (32)</t>
  </si>
  <si>
    <t>Federal Tax ID</t>
  </si>
  <si>
    <t>company_id, card_code</t>
  </si>
  <si>
    <t>OHEM (requester identity in B1_SYNC mode)</t>
  </si>
  <si>
    <t>employee_id</t>
  </si>
  <si>
    <t>Employee ID</t>
  </si>
  <si>
    <t>full_name</t>
  </si>
  <si>
    <t>Full Name</t>
  </si>
  <si>
    <t>company_id, employee_id</t>
  </si>
  <si>
    <t>VatGroups (input) / OSTC</t>
  </si>
  <si>
    <t>tax_code</t>
  </si>
  <si>
    <t>Tax Code</t>
  </si>
  <si>
    <t>tax_name</t>
  </si>
  <si>
    <t>Tax Name</t>
  </si>
  <si>
    <t>rate</t>
  </si>
  <si>
    <t>Numeric (9,4)</t>
  </si>
  <si>
    <t>Rate</t>
  </si>
  <si>
    <t>company_id, tax_code</t>
  </si>
  <si>
    <t>FK â†’ vendors (id), Not Null</t>
  </si>
  <si>
    <t>Allowed: GST, PAN, MSME, INSURANCE, CANCELLED_CHEQUE, OTHER</t>
  </si>
  <si>
    <t>file_name</t>
  </si>
  <si>
    <t>Varchar (255)</t>
  </si>
  <si>
    <t>File Name</t>
  </si>
  <si>
    <t>content_type</t>
  </si>
  <si>
    <t>Content Type</t>
  </si>
  <si>
    <t>size_bytes</t>
  </si>
  <si>
    <t>Bigint</t>
  </si>
  <si>
    <t>Size Bytes</t>
  </si>
  <si>
    <t>storage_key</t>
  </si>
  <si>
    <t>Varchar (300)</t>
  </si>
  <si>
    <t>Storage Key</t>
  </si>
  <si>
    <t>path under the document store</t>
  </si>
  <si>
    <t>expiry_date</t>
  </si>
  <si>
    <t>Expiry Date</t>
  </si>
  <si>
    <t>uploaded_by_user_id</t>
  </si>
  <si>
    <t>Uploaded By User ID</t>
  </si>
  <si>
    <t>FK â†’ users (id)</t>
  </si>
  <si>
    <t>uploaded_at</t>
  </si>
  <si>
    <t>Uploaded At</t>
  </si>
  <si>
    <t>entity_type</t>
  </si>
  <si>
    <t>Entity Type</t>
  </si>
  <si>
    <t>Allowed: VENDOR, REQUESTER, PURCHASE_REQUEST</t>
  </si>
  <si>
    <t>entity_id</t>
  </si>
  <si>
    <t>Entity ID</t>
  </si>
  <si>
    <t>Allowed: ADMIN, FINANCE, PROCUREMENT, COMPLIANCE</t>
  </si>
  <si>
    <t>seq</t>
  </si>
  <si>
    <t>Seq</t>
  </si>
  <si>
    <t>Allowed: NOT_STARTED, PENDING, APPROVED, REJECTED, SKIPPED; Default: 'NOT_STARTED'</t>
  </si>
  <si>
    <t>round</t>
  </si>
  <si>
    <t>Round</t>
  </si>
  <si>
    <t>increments on resubmission; Default: 1</t>
  </si>
  <si>
    <t>acted_by_user_id</t>
  </si>
  <si>
    <t>Acted By User ID</t>
  </si>
  <si>
    <t>acted_at</t>
  </si>
  <si>
    <t>Acted At</t>
  </si>
  <si>
    <t>remarks</t>
  </si>
  <si>
    <t>Remarks</t>
  </si>
  <si>
    <t>Unique (composite)</t>
  </si>
  <si>
    <t>entity_type, entity_id, round, stage</t>
  </si>
  <si>
    <t>pr_no</t>
  </si>
  <si>
    <t>PR No.</t>
  </si>
  <si>
    <t>source</t>
  </si>
  <si>
    <t>Varchar (5)</t>
  </si>
  <si>
    <t>Source</t>
  </si>
  <si>
    <t>Allowed: APP, B1</t>
  </si>
  <si>
    <t>sap_doc_entry</t>
  </si>
  <si>
    <t>SAP Doc Entry</t>
  </si>
  <si>
    <t>sap_doc_num</t>
  </si>
  <si>
    <t>SAP Doc Number</t>
  </si>
  <si>
    <t>requester_user_id</t>
  </si>
  <si>
    <t>Requester User ID</t>
  </si>
  <si>
    <t>requester_name</t>
  </si>
  <si>
    <t>Requester Name</t>
  </si>
  <si>
    <t>required_date</t>
  </si>
  <si>
    <t>Required Date</t>
  </si>
  <si>
    <t>justification</t>
  </si>
  <si>
    <t>Varchar (2000)</t>
  </si>
  <si>
    <t>Justification</t>
  </si>
  <si>
    <t>Allowed: DRAFT, PENDING_APPROVAL, APPROVED, REJECTED, PARTIALLY_SOURCED, SOURCED, CLOSED, CANCELLED; Default: 'PENDING_APPROVAL'</t>
  </si>
  <si>
    <t>sap_push_status</t>
  </si>
  <si>
    <t>SAP Push Status</t>
  </si>
  <si>
    <t>Allowed: NOT_REQUIRED, QUEUED, POSTED, FAILED; Default: 'NOT_REQUIRED'</t>
  </si>
  <si>
    <t>company_id, pr_no</t>
  </si>
  <si>
    <t>purchase_request_id</t>
  </si>
  <si>
    <t>Purchase Request ID</t>
  </si>
  <si>
    <t>FK â†’ purchase_requests (id), Not Null</t>
  </si>
  <si>
    <t>line_num</t>
  </si>
  <si>
    <t>Line Number</t>
  </si>
  <si>
    <t>= PRQ1.LineNum when source = B1</t>
  </si>
  <si>
    <t>uom</t>
  </si>
  <si>
    <t>UOM</t>
  </si>
  <si>
    <t>quantity</t>
  </si>
  <si>
    <t>Quantity</t>
  </si>
  <si>
    <t>Check: quantity &gt; 0</t>
  </si>
  <si>
    <t>sourced_qty</t>
  </si>
  <si>
    <t>Sourced Qty</t>
  </si>
  <si>
    <t>moved into an RFQ or PO; Default: 0</t>
  </si>
  <si>
    <t>purchase_request_id, line_num</t>
  </si>
  <si>
    <t>CHECK (sourced_qty &gt;= 0 AND sourced_qty &lt;= quantity)</t>
  </si>
  <si>
    <t>rfq_no</t>
  </si>
  <si>
    <t>RFQ No.</t>
  </si>
  <si>
    <t>title</t>
  </si>
  <si>
    <t>Title</t>
  </si>
  <si>
    <t>due_date</t>
  </si>
  <si>
    <t>Due Date</t>
  </si>
  <si>
    <t>Allowed: OPEN, CLOSED, PARTIALLY_AWARDED, AWARDED, CANCELLED; Default: 'OPEN'</t>
  </si>
  <si>
    <t>notes</t>
  </si>
  <si>
    <t>Notes</t>
  </si>
  <si>
    <t>company_id, rfq_no</t>
  </si>
  <si>
    <t>rfq_id</t>
  </si>
  <si>
    <t>RFQ ID</t>
  </si>
  <si>
    <t>FK â†’ rfqs (id), Not Null</t>
  </si>
  <si>
    <t>awarded_qty</t>
  </si>
  <si>
    <t>Awarded Qty</t>
  </si>
  <si>
    <t>rfq_id, line_num</t>
  </si>
  <si>
    <t>CHECK (awarded_qty &gt;= 0 AND awarded_qty &lt;= quantity)</t>
  </si>
  <si>
    <t>rfq_line_id</t>
  </si>
  <si>
    <t>RFQ Line ID</t>
  </si>
  <si>
    <t>Primary Key (composite), FK â†’ rfq_lines (id), Not Null</t>
  </si>
  <si>
    <t>pr_line_id</t>
  </si>
  <si>
    <t>PR Line ID</t>
  </si>
  <si>
    <t>Primary Key (composite), FK â†’ purchase_request_lines (id), Not Null</t>
  </si>
  <si>
    <t>rfq_line_id, pr_line_id</t>
  </si>
  <si>
    <t>Primary Key (composite), FK â†’ rfqs (id), Not Null</t>
  </si>
  <si>
    <t>Primary Key (composite), FK â†’ vendors (id), Not Null</t>
  </si>
  <si>
    <t>invited_at</t>
  </si>
  <si>
    <t>Invited At</t>
  </si>
  <si>
    <t>viewed_at</t>
  </si>
  <si>
    <t>Viewed At</t>
  </si>
  <si>
    <t>rfq_id, vendor_id</t>
  </si>
  <si>
    <t>delivery_date</t>
  </si>
  <si>
    <t>Delivery Date</t>
  </si>
  <si>
    <t>payment_terms</t>
  </si>
  <si>
    <t>Payment Terms</t>
  </si>
  <si>
    <t>revision</t>
  </si>
  <si>
    <t>Revision</t>
  </si>
  <si>
    <t>Allowed: SUBMITTED, WITHDRAWN, AWARDED, PARTIALLY_AWARDED, NOT_AWARDED; Default: 'SUBMITTED'</t>
  </si>
  <si>
    <t>submitted_at</t>
  </si>
  <si>
    <t>Submitted At</t>
  </si>
  <si>
    <t>quotation_id</t>
  </si>
  <si>
    <t>Quotation ID</t>
  </si>
  <si>
    <t>FK â†’ quotations (id), Not Null</t>
  </si>
  <si>
    <t>FK â†’ rfq_lines (id), Not Null</t>
  </si>
  <si>
    <t>unit_price</t>
  </si>
  <si>
    <t>Unit Price</t>
  </si>
  <si>
    <t>Check: unit_price &gt;= 0</t>
  </si>
  <si>
    <t>fulfil_qty</t>
  </si>
  <si>
    <t>Fulfil Qty</t>
  </si>
  <si>
    <t>Check: fulfil_qty &gt;= 0</t>
  </si>
  <si>
    <t>tax_percent</t>
  </si>
  <si>
    <t>Tax Percent</t>
  </si>
  <si>
    <t>quotation_id, rfq_line_id</t>
  </si>
  <si>
    <t>Check: awarded_qty &gt; 0</t>
  </si>
  <si>
    <t>purchase_order_id</t>
  </si>
  <si>
    <t>Purchase Order ID</t>
  </si>
  <si>
    <t>FK â†’ purchase_orders (id)</t>
  </si>
  <si>
    <t>FK added after purchase_orders</t>
  </si>
  <si>
    <t>awarded_by_user_id</t>
  </si>
  <si>
    <t>Awarded By User ID</t>
  </si>
  <si>
    <t>awarded_at</t>
  </si>
  <si>
    <t>Awarded At</t>
  </si>
  <si>
    <t>Allowed: RFQ, PR, DIRECT, B1</t>
  </si>
  <si>
    <t>FK â†’ rfqs (id)</t>
  </si>
  <si>
    <t>doc_date</t>
  </si>
  <si>
    <t>Doc Date</t>
  </si>
  <si>
    <t>doc_due_date</t>
  </si>
  <si>
    <t>Doc Due Date</t>
  </si>
  <si>
    <t>doc_total</t>
  </si>
  <si>
    <t>Doc Total</t>
  </si>
  <si>
    <t>Allowed: SAP_PENDING, SAP_FAILED, PENDING_ACK, ACKNOWLEDGED, DECLINED, PARTIALLY_SHIPPED, SHIPPED, PARTIALLY_RECEIVED, COMPLETED, CANCELLED; Default: 'SAP_PENDING'</t>
  </si>
  <si>
    <t>ack_remarks</t>
  </si>
  <si>
    <t>Ack Remarks</t>
  </si>
  <si>
    <t>acknowledged_at</t>
  </si>
  <si>
    <t>Acknowledged At</t>
  </si>
  <si>
    <t>acknowledged_by_user_id</t>
  </si>
  <si>
    <t>Acknowledged By User ID</t>
  </si>
  <si>
    <t>FK â†’ purchase_orders (id), Not Null</t>
  </si>
  <si>
    <t>= POR1.LineNum</t>
  </si>
  <si>
    <t>ship_date</t>
  </si>
  <si>
    <t>Ship Date</t>
  </si>
  <si>
    <t>line delivery date (POR1.ShipDate)</t>
  </si>
  <si>
    <t>shipped_qty</t>
  </si>
  <si>
    <t>Shipped Qty</t>
  </si>
  <si>
    <t>sum of ASN lines; Default: 0</t>
  </si>
  <si>
    <t>received_qty</t>
  </si>
  <si>
    <t>Received Qty</t>
  </si>
  <si>
    <t>sum of posted GRPO lines; Default: 0</t>
  </si>
  <si>
    <t>base_pr_line_id</t>
  </si>
  <si>
    <t>FK â†’ purchase_request_lines (id)</t>
  </si>
  <si>
    <t>purchase_order_id, line_num</t>
  </si>
  <si>
    <t>CHECK (shipped_qty &gt;= 0 AND received_qty &gt;= 0)</t>
  </si>
  <si>
    <t>asn_no</t>
  </si>
  <si>
    <t>ASN No.</t>
  </si>
  <si>
    <t>expected_delivery</t>
  </si>
  <si>
    <t>Expected Delivery</t>
  </si>
  <si>
    <t>carrier</t>
  </si>
  <si>
    <t>Carrier</t>
  </si>
  <si>
    <t>tracking_no</t>
  </si>
  <si>
    <t>Tracking No.</t>
  </si>
  <si>
    <t>vendor_invoice_no</t>
  </si>
  <si>
    <t>Vendor Invoice No.</t>
  </si>
  <si>
    <t>cartons</t>
  </si>
  <si>
    <t>Cartons</t>
  </si>
  <si>
    <t>pallets</t>
  </si>
  <si>
    <t>Pallets</t>
  </si>
  <si>
    <t>total_weight</t>
  </si>
  <si>
    <t>Total Weight</t>
  </si>
  <si>
    <t>Allowed: SUBMITTED, GRPO_DRAFTED, RECEIVED, CANCELLED; Default: 'SUBMITTED'</t>
  </si>
  <si>
    <t>submitted_by_user_id</t>
  </si>
  <si>
    <t>company_id, asn_no</t>
  </si>
  <si>
    <t>asn_id</t>
  </si>
  <si>
    <t>ASN ID</t>
  </si>
  <si>
    <t>FK â†’ asns (id), Not Null</t>
  </si>
  <si>
    <t>po_line_id</t>
  </si>
  <si>
    <t>PO Line ID</t>
  </si>
  <si>
    <t>FK â†’ purchase_order_lines (id), Not Null</t>
  </si>
  <si>
    <t>Check: shipped_qty &gt; 0</t>
  </si>
  <si>
    <t>batch_no</t>
  </si>
  <si>
    <t>Batch No.</t>
  </si>
  <si>
    <t>asn_id, po_line_id</t>
  </si>
  <si>
    <t>FK â†’ asns (id), Not Null, Unique</t>
  </si>
  <si>
    <t>sap_draft_entry</t>
  </si>
  <si>
    <t>SAP Draft Entry</t>
  </si>
  <si>
    <t>ODRF.DocEntry</t>
  </si>
  <si>
    <t>OPDN.DocEntry once posted</t>
  </si>
  <si>
    <t>Allowed: DRAFT_PENDING, DRAFT_CREATED, DRAFT_FAILED, POSTING, POSTED, POST_FAILED; Default: 'DRAFT_PENDING'</t>
  </si>
  <si>
    <t>posting_date</t>
  </si>
  <si>
    <t>Posting Date</t>
  </si>
  <si>
    <t>confirmed_by_user_id</t>
  </si>
  <si>
    <t>Confirmed By User ID</t>
  </si>
  <si>
    <t>confirmed_at</t>
  </si>
  <si>
    <t>Confirmed At</t>
  </si>
  <si>
    <t>grpo_id</t>
  </si>
  <si>
    <t>GRPO ID</t>
  </si>
  <si>
    <t>FK â†’ grpos (id), Not Null</t>
  </si>
  <si>
    <t>asn_qty</t>
  </si>
  <si>
    <t>ASN Qty</t>
  </si>
  <si>
    <t>Check: received_qty &gt;= 0</t>
  </si>
  <si>
    <t>rejected_qty</t>
  </si>
  <si>
    <t>Rejected Qty</t>
  </si>
  <si>
    <t>Check: rejected_qty &gt;= 0; Default: 0</t>
  </si>
  <si>
    <t>grpo_id, po_line_id</t>
  </si>
  <si>
    <t>period</t>
  </si>
  <si>
    <t>Period</t>
  </si>
  <si>
    <t>first day of month</t>
  </si>
  <si>
    <t>otif_pct</t>
  </si>
  <si>
    <t>Numeric (5,2)</t>
  </si>
  <si>
    <t>OTIF %</t>
  </si>
  <si>
    <t>quality_pct</t>
  </si>
  <si>
    <t>Quality %</t>
  </si>
  <si>
    <t>price_variance_pct</t>
  </si>
  <si>
    <t>Numeric (7,2)</t>
  </si>
  <si>
    <t>Price Variance %</t>
  </si>
  <si>
    <t>po_count</t>
  </si>
  <si>
    <t>PO Count</t>
  </si>
  <si>
    <t>computed_at</t>
  </si>
  <si>
    <t>Computed At</t>
  </si>
  <si>
    <t>vendor_id, period</t>
  </si>
  <si>
    <t>entity</t>
  </si>
  <si>
    <t>Entity</t>
  </si>
  <si>
    <t>ITEMS / WAREHOUSES / VENDOR_GROUPS / BUSINESS_PARTNERS / EMPLOYEES / TAX_CODES / PURCHASE_REQUESTS / PURCHASE_ORDERS</t>
  </si>
  <si>
    <t>trigger_type</t>
  </si>
  <si>
    <t>Trigger Type</t>
  </si>
  <si>
    <t>Allowed: SCHEDULED, MANUAL, LOGIN</t>
  </si>
  <si>
    <t>Allowed: RUNNING, SUCCESS, FAILED</t>
  </si>
  <si>
    <t>records</t>
  </si>
  <si>
    <t>Records</t>
  </si>
  <si>
    <t>error_detail</t>
  </si>
  <si>
    <t>Error Detail</t>
  </si>
  <si>
    <t>started_at</t>
  </si>
  <si>
    <t>Started At</t>
  </si>
  <si>
    <t>finished_at</t>
  </si>
  <si>
    <t>Finished At</t>
  </si>
  <si>
    <t>operation</t>
  </si>
  <si>
    <t>Operation</t>
  </si>
  <si>
    <t>Allowed: CREATE_VENDOR, CREATE_PURCHASE_REQUEST, CREATE_PURCHASE_ORDER, CREATE_GRPO_DRAFT, POST_GRPO</t>
  </si>
  <si>
    <t>source_type</t>
  </si>
  <si>
    <t>Source Type</t>
  </si>
  <si>
    <t>VENDOR / PURCHASE_REQUEST / PURCHASE_ORDER / GRPO</t>
  </si>
  <si>
    <t>source_id</t>
  </si>
  <si>
    <t>Source ID</t>
  </si>
  <si>
    <t>target_b1_object</t>
  </si>
  <si>
    <t>Varchar (60)</t>
  </si>
  <si>
    <t>Target B1 Object</t>
  </si>
  <si>
    <t>BusinessPartners, PurchaseOrders, Drafts, PurchaseDeliveryNotes …</t>
  </si>
  <si>
    <t>payload_snapshot</t>
  </si>
  <si>
    <t>JSONB</t>
  </si>
  <si>
    <t>Payload Snapshot</t>
  </si>
  <si>
    <t>exact request body sent (enables audit + retry)</t>
  </si>
  <si>
    <t>response_snapshot</t>
  </si>
  <si>
    <t>Response Snapshot</t>
  </si>
  <si>
    <t>Allowed: QUEUED, RUNNING, POSTED, FAILED; Default: 'QUEUED'</t>
  </si>
  <si>
    <t>attempts</t>
  </si>
  <si>
    <t>Attempts</t>
  </si>
  <si>
    <t>max_attempts</t>
  </si>
  <si>
    <t>Max Attempts</t>
  </si>
  <si>
    <t>Default: 5</t>
  </si>
  <si>
    <t>next_attempt_at</t>
  </si>
  <si>
    <t>Next Attempt At</t>
  </si>
  <si>
    <t>sap_key</t>
  </si>
  <si>
    <t>CardCode / DocNum returned by B1</t>
  </si>
  <si>
    <t>requested_by_user_id</t>
  </si>
  <si>
    <t>Requested By User ID</t>
  </si>
  <si>
    <t>resolved_at</t>
  </si>
  <si>
    <t>Resolved At</t>
  </si>
  <si>
    <t>FK â†’ users (id), Not Null</t>
  </si>
  <si>
    <t>(ik_vendor schema</t>
  </si>
  <si>
    <t>(ik_vendor schema)</t>
  </si>
  <si>
    <t>(ik_vendor schema )</t>
  </si>
  <si>
    <t xml:space="preserve">(ik_vendor schema)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</si>
</sst>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b/>
      <sz val="14"/>
      <name val="Calibri"/>
    </font>
    <font>
      <sz val="11"/>
      <name val="Calibri"/>
    </font>
    <font>
      <b/>
      <sz val="11"/>
      <name val="Calibri"/>
    </font>
    <font>
      <u/>
      <sz val="11"/>
      <color rgb="FF0563C1"/>
      <name val="Calibri"/>
    </font>
    <font>
      <sz val="1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1" xfId="0" applyFont="1" applyBorder="1"/>
    <xf numFmtId="0" fontId="3" fillId="5" borderId="1" xfId="0" applyFont="1" applyFill="1" applyBorder="1"/>
    <xf numFmtId="0" fontId="2" fillId="5" borderId="1" xfId="0" applyFont="1" applyFill="1" applyBorder="1"/>
    <xf numFmtId="0" fontId="5" fillId="5" borderId="1" xfId="0" applyFont="1" applyFill="1" applyBorder="1"/>
    <xf numFmtId="0" fontId="6" fillId="5" borderId="1" xfId="0" applyFont="1" applyFill="1" applyBorder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G46"/>
  <sheetViews>
    <sheetView workbookViewId="0">
      <pane ySplit="4" topLeftCell="A32" activePane="bottomLeft" state="frozen"/>
      <selection pane="bottomLeft" activeCell="A35" sqref="A35"/>
    </sheetView>
  </sheetViews>
  <sheetFormatPr defaultRowHeight="15"/>
  <cols>
    <col min="1" max="1" width="28" customWidth="1"/>
    <col min="2" max="2" width="20" customWidth="1"/>
    <col min="3" max="4" width="34" customWidth="1"/>
    <col min="5" max="5" width="70" customWidth="1"/>
    <col min="7" max="7" width="40" customWidth="1"/>
  </cols>
  <sheetData>
    <row r="1" spans="1:7" ht="18.75">
      <c r="A1" s="1" t="s">
        <v>0</v>
      </c>
    </row>
    <row r="2" spans="1:7" ht="48" customHeight="1">
      <c r="A2" s="13" t="s">
        <v>1</v>
      </c>
      <c r="B2" s="13"/>
      <c r="C2" s="13"/>
      <c r="D2" s="13"/>
      <c r="E2" s="13"/>
      <c r="F2" s="13"/>
      <c r="G2" s="13"/>
    </row>
    <row r="4" spans="1:7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ht="30">
      <c r="A5" s="3" t="s">
        <v>9</v>
      </c>
      <c r="B5" s="4" t="s">
        <v>10</v>
      </c>
      <c r="C5" s="5" t="s">
        <v>11</v>
      </c>
      <c r="D5" s="5" t="s">
        <v>12</v>
      </c>
      <c r="E5" s="5" t="s">
        <v>13</v>
      </c>
      <c r="F5" s="5">
        <v>18</v>
      </c>
      <c r="G5" s="5" t="s">
        <v>14</v>
      </c>
    </row>
    <row r="6" spans="1:7" ht="30">
      <c r="A6" s="3" t="s">
        <v>15</v>
      </c>
      <c r="B6" s="4" t="s">
        <v>10</v>
      </c>
      <c r="C6" s="5" t="s">
        <v>11</v>
      </c>
      <c r="D6" s="5" t="s">
        <v>16</v>
      </c>
      <c r="E6" s="5" t="s">
        <v>17</v>
      </c>
      <c r="F6" s="5">
        <v>15</v>
      </c>
      <c r="G6" s="5" t="s">
        <v>9</v>
      </c>
    </row>
    <row r="7" spans="1:7" ht="30">
      <c r="A7" s="3" t="s">
        <v>18</v>
      </c>
      <c r="B7" s="4" t="s">
        <v>10</v>
      </c>
      <c r="C7" s="5" t="s">
        <v>11</v>
      </c>
      <c r="D7" s="5" t="s">
        <v>19</v>
      </c>
      <c r="E7" s="5" t="s">
        <v>20</v>
      </c>
      <c r="F7" s="5">
        <v>16</v>
      </c>
      <c r="G7" s="5" t="s">
        <v>9</v>
      </c>
    </row>
    <row r="8" spans="1:7">
      <c r="A8" s="3" t="s">
        <v>21</v>
      </c>
      <c r="B8" s="4" t="s">
        <v>10</v>
      </c>
      <c r="C8" s="5" t="s">
        <v>11</v>
      </c>
      <c r="D8" s="5" t="s">
        <v>22</v>
      </c>
      <c r="E8" s="5" t="s">
        <v>23</v>
      </c>
      <c r="F8" s="5">
        <v>8</v>
      </c>
      <c r="G8" s="5" t="s">
        <v>24</v>
      </c>
    </row>
    <row r="9" spans="1:7">
      <c r="A9" s="3" t="s">
        <v>25</v>
      </c>
      <c r="B9" s="4" t="s">
        <v>10</v>
      </c>
      <c r="C9" s="5" t="s">
        <v>11</v>
      </c>
      <c r="D9" s="5" t="s">
        <v>19</v>
      </c>
      <c r="E9" s="5" t="s">
        <v>26</v>
      </c>
      <c r="F9" s="5">
        <v>6</v>
      </c>
      <c r="G9" s="5" t="s">
        <v>18</v>
      </c>
    </row>
    <row r="10" spans="1:7" ht="30">
      <c r="A10" s="3" t="s">
        <v>27</v>
      </c>
      <c r="B10" s="4" t="s">
        <v>10</v>
      </c>
      <c r="C10" s="5" t="s">
        <v>11</v>
      </c>
      <c r="D10" s="5" t="s">
        <v>16</v>
      </c>
      <c r="E10" s="5" t="s">
        <v>28</v>
      </c>
      <c r="F10" s="5">
        <v>8</v>
      </c>
      <c r="G10" s="5" t="s">
        <v>9</v>
      </c>
    </row>
    <row r="11" spans="1:7" ht="30">
      <c r="A11" s="3" t="s">
        <v>29</v>
      </c>
      <c r="B11" s="4" t="s">
        <v>10</v>
      </c>
      <c r="C11" s="5" t="s">
        <v>11</v>
      </c>
      <c r="D11" s="5" t="s">
        <v>30</v>
      </c>
      <c r="E11" s="5" t="s">
        <v>31</v>
      </c>
      <c r="F11" s="5">
        <v>2</v>
      </c>
      <c r="G11" s="5" t="s">
        <v>14</v>
      </c>
    </row>
    <row r="12" spans="1:7" ht="30">
      <c r="A12" s="3" t="s">
        <v>32</v>
      </c>
      <c r="B12" s="6" t="s">
        <v>33</v>
      </c>
      <c r="C12" s="5" t="s">
        <v>34</v>
      </c>
      <c r="D12" s="5" t="s">
        <v>16</v>
      </c>
      <c r="E12" s="5" t="s">
        <v>35</v>
      </c>
      <c r="F12" s="5">
        <v>30</v>
      </c>
      <c r="G12" s="5" t="s">
        <v>9</v>
      </c>
    </row>
    <row r="13" spans="1:7" ht="30">
      <c r="A13" s="3" t="s">
        <v>36</v>
      </c>
      <c r="B13" s="6" t="s">
        <v>33</v>
      </c>
      <c r="C13" s="5" t="s">
        <v>34</v>
      </c>
      <c r="D13" s="5" t="s">
        <v>16</v>
      </c>
      <c r="E13" s="5" t="s">
        <v>37</v>
      </c>
      <c r="F13" s="5">
        <v>16</v>
      </c>
      <c r="G13" s="5" t="s">
        <v>38</v>
      </c>
    </row>
    <row r="14" spans="1:7" ht="30">
      <c r="A14" s="3" t="s">
        <v>39</v>
      </c>
      <c r="B14" s="6" t="s">
        <v>33</v>
      </c>
      <c r="C14" s="5" t="s">
        <v>34</v>
      </c>
      <c r="D14" s="5" t="s">
        <v>16</v>
      </c>
      <c r="E14" s="5" t="s">
        <v>40</v>
      </c>
      <c r="F14" s="5">
        <v>2</v>
      </c>
      <c r="G14" s="5" t="s">
        <v>36</v>
      </c>
    </row>
    <row r="15" spans="1:7" ht="30">
      <c r="A15" s="3" t="s">
        <v>41</v>
      </c>
      <c r="B15" s="6" t="s">
        <v>33</v>
      </c>
      <c r="C15" s="5" t="s">
        <v>34</v>
      </c>
      <c r="D15" s="5" t="s">
        <v>16</v>
      </c>
      <c r="E15" s="5" t="s">
        <v>42</v>
      </c>
      <c r="F15" s="5">
        <v>4</v>
      </c>
      <c r="G15" s="5" t="s">
        <v>9</v>
      </c>
    </row>
    <row r="16" spans="1:7" ht="30">
      <c r="A16" s="3" t="s">
        <v>43</v>
      </c>
      <c r="B16" s="6" t="s">
        <v>33</v>
      </c>
      <c r="C16" s="5" t="s">
        <v>34</v>
      </c>
      <c r="D16" s="5" t="s">
        <v>44</v>
      </c>
      <c r="E16" s="5" t="s">
        <v>45</v>
      </c>
      <c r="F16" s="5">
        <v>5</v>
      </c>
      <c r="G16" s="5" t="s">
        <v>9</v>
      </c>
    </row>
    <row r="17" spans="1:7" ht="30">
      <c r="A17" s="3" t="s">
        <v>46</v>
      </c>
      <c r="B17" s="6" t="s">
        <v>33</v>
      </c>
      <c r="C17" s="5" t="s">
        <v>34</v>
      </c>
      <c r="D17" s="5" t="s">
        <v>44</v>
      </c>
      <c r="E17" s="5" t="s">
        <v>47</v>
      </c>
      <c r="F17" s="5">
        <v>10</v>
      </c>
      <c r="G17" s="5" t="s">
        <v>9</v>
      </c>
    </row>
    <row r="18" spans="1:7" ht="30">
      <c r="A18" s="3" t="s">
        <v>48</v>
      </c>
      <c r="B18" s="6" t="s">
        <v>33</v>
      </c>
      <c r="C18" s="5" t="s">
        <v>34</v>
      </c>
      <c r="D18" s="5" t="s">
        <v>44</v>
      </c>
      <c r="E18" s="5" t="s">
        <v>49</v>
      </c>
      <c r="F18" s="5">
        <v>7</v>
      </c>
      <c r="G18" s="5" t="s">
        <v>46</v>
      </c>
    </row>
    <row r="19" spans="1:7" ht="30">
      <c r="A19" s="3" t="s">
        <v>50</v>
      </c>
      <c r="B19" s="6" t="s">
        <v>33</v>
      </c>
      <c r="C19" s="5" t="s">
        <v>34</v>
      </c>
      <c r="D19" s="5" t="s">
        <v>44</v>
      </c>
      <c r="E19" s="5" t="s">
        <v>51</v>
      </c>
      <c r="F19" s="5">
        <v>4</v>
      </c>
      <c r="G19" s="5" t="s">
        <v>9</v>
      </c>
    </row>
    <row r="20" spans="1:7" ht="30">
      <c r="A20" s="3" t="s">
        <v>52</v>
      </c>
      <c r="B20" s="6" t="s">
        <v>33</v>
      </c>
      <c r="C20" s="5" t="s">
        <v>34</v>
      </c>
      <c r="D20" s="5" t="s">
        <v>44</v>
      </c>
      <c r="E20" s="5" t="s">
        <v>53</v>
      </c>
      <c r="F20" s="5">
        <v>8</v>
      </c>
      <c r="G20" s="5" t="s">
        <v>9</v>
      </c>
    </row>
    <row r="21" spans="1:7" ht="30">
      <c r="A21" s="3" t="s">
        <v>54</v>
      </c>
      <c r="B21" s="6" t="s">
        <v>33</v>
      </c>
      <c r="C21" s="5" t="s">
        <v>34</v>
      </c>
      <c r="D21" s="5" t="s">
        <v>44</v>
      </c>
      <c r="E21" s="5" t="s">
        <v>55</v>
      </c>
      <c r="F21" s="5">
        <v>6</v>
      </c>
      <c r="G21" s="5" t="s">
        <v>9</v>
      </c>
    </row>
    <row r="22" spans="1:7" ht="30">
      <c r="A22" s="3" t="s">
        <v>56</v>
      </c>
      <c r="B22" s="6" t="s">
        <v>33</v>
      </c>
      <c r="C22" s="5" t="s">
        <v>34</v>
      </c>
      <c r="D22" s="5" t="s">
        <v>44</v>
      </c>
      <c r="E22" s="5" t="s">
        <v>57</v>
      </c>
      <c r="F22" s="5">
        <v>5</v>
      </c>
      <c r="G22" s="5" t="s">
        <v>9</v>
      </c>
    </row>
    <row r="23" spans="1:7" ht="30">
      <c r="A23" s="3" t="s">
        <v>58</v>
      </c>
      <c r="B23" s="6" t="s">
        <v>33</v>
      </c>
      <c r="C23" s="5" t="s">
        <v>34</v>
      </c>
      <c r="D23" s="5" t="s">
        <v>16</v>
      </c>
      <c r="E23" s="5" t="s">
        <v>59</v>
      </c>
      <c r="F23" s="5">
        <v>11</v>
      </c>
      <c r="G23" s="5" t="s">
        <v>60</v>
      </c>
    </row>
    <row r="24" spans="1:7" ht="30">
      <c r="A24" s="3" t="s">
        <v>61</v>
      </c>
      <c r="B24" s="6" t="s">
        <v>33</v>
      </c>
      <c r="C24" s="5" t="s">
        <v>34</v>
      </c>
      <c r="D24" s="5" t="s">
        <v>16</v>
      </c>
      <c r="E24" s="5" t="s">
        <v>62</v>
      </c>
      <c r="F24" s="5">
        <v>11</v>
      </c>
      <c r="G24" s="5" t="s">
        <v>63</v>
      </c>
    </row>
    <row r="25" spans="1:7" ht="30">
      <c r="A25" s="3" t="s">
        <v>64</v>
      </c>
      <c r="B25" s="6" t="s">
        <v>33</v>
      </c>
      <c r="C25" s="5" t="s">
        <v>34</v>
      </c>
      <c r="D25" s="5" t="s">
        <v>65</v>
      </c>
      <c r="E25" s="5" t="s">
        <v>66</v>
      </c>
      <c r="F25" s="5">
        <v>16</v>
      </c>
      <c r="G25" s="5" t="s">
        <v>63</v>
      </c>
    </row>
    <row r="26" spans="1:7" ht="30">
      <c r="A26" s="3" t="s">
        <v>67</v>
      </c>
      <c r="B26" s="6" t="s">
        <v>33</v>
      </c>
      <c r="C26" s="5" t="s">
        <v>34</v>
      </c>
      <c r="D26" s="5" t="s">
        <v>68</v>
      </c>
      <c r="E26" s="5" t="s">
        <v>69</v>
      </c>
      <c r="F26" s="5">
        <v>10</v>
      </c>
      <c r="G26" s="5" t="s">
        <v>64</v>
      </c>
    </row>
    <row r="27" spans="1:7" ht="30">
      <c r="A27" s="3" t="s">
        <v>70</v>
      </c>
      <c r="B27" s="6" t="s">
        <v>33</v>
      </c>
      <c r="C27" s="5" t="s">
        <v>34</v>
      </c>
      <c r="D27" s="5" t="s">
        <v>16</v>
      </c>
      <c r="E27" s="5" t="s">
        <v>71</v>
      </c>
      <c r="F27" s="5">
        <v>10</v>
      </c>
      <c r="G27" s="5" t="s">
        <v>63</v>
      </c>
    </row>
    <row r="28" spans="1:7" ht="30">
      <c r="A28" s="3" t="s">
        <v>72</v>
      </c>
      <c r="B28" s="6" t="s">
        <v>33</v>
      </c>
      <c r="C28" s="5" t="s">
        <v>34</v>
      </c>
      <c r="D28" s="5" t="s">
        <v>16</v>
      </c>
      <c r="E28" s="5" t="s">
        <v>73</v>
      </c>
      <c r="F28" s="5">
        <v>10</v>
      </c>
      <c r="G28" s="5" t="s">
        <v>70</v>
      </c>
    </row>
    <row r="29" spans="1:7" ht="30">
      <c r="A29" s="3" t="s">
        <v>74</v>
      </c>
      <c r="B29" s="6" t="s">
        <v>33</v>
      </c>
      <c r="C29" s="5" t="s">
        <v>34</v>
      </c>
      <c r="D29" s="5" t="s">
        <v>16</v>
      </c>
      <c r="E29" s="5" t="s">
        <v>75</v>
      </c>
      <c r="F29" s="5">
        <v>3</v>
      </c>
      <c r="G29" s="5" t="s">
        <v>76</v>
      </c>
    </row>
    <row r="30" spans="1:7" ht="30">
      <c r="A30" s="3" t="s">
        <v>77</v>
      </c>
      <c r="B30" s="6" t="s">
        <v>33</v>
      </c>
      <c r="C30" s="5" t="s">
        <v>34</v>
      </c>
      <c r="D30" s="5" t="s">
        <v>16</v>
      </c>
      <c r="E30" s="5" t="s">
        <v>78</v>
      </c>
      <c r="F30" s="5">
        <v>4</v>
      </c>
      <c r="G30" s="5" t="s">
        <v>79</v>
      </c>
    </row>
    <row r="31" spans="1:7" ht="30">
      <c r="A31" s="3" t="s">
        <v>80</v>
      </c>
      <c r="B31" s="6" t="s">
        <v>33</v>
      </c>
      <c r="C31" s="5" t="s">
        <v>34</v>
      </c>
      <c r="D31" s="5" t="s">
        <v>16</v>
      </c>
      <c r="E31" s="5" t="s">
        <v>81</v>
      </c>
      <c r="F31" s="5">
        <v>10</v>
      </c>
      <c r="G31" s="5" t="s">
        <v>79</v>
      </c>
    </row>
    <row r="32" spans="1:7" ht="30">
      <c r="A32" s="3" t="s">
        <v>82</v>
      </c>
      <c r="B32" s="6" t="s">
        <v>33</v>
      </c>
      <c r="C32" s="5" t="s">
        <v>34</v>
      </c>
      <c r="D32" s="5" t="s">
        <v>16</v>
      </c>
      <c r="E32" s="5" t="s">
        <v>83</v>
      </c>
      <c r="F32" s="5">
        <v>6</v>
      </c>
      <c r="G32" s="5" t="s">
        <v>84</v>
      </c>
    </row>
    <row r="33" spans="1:7" ht="30">
      <c r="A33" s="3" t="s">
        <v>85</v>
      </c>
      <c r="B33" s="6" t="s">
        <v>33</v>
      </c>
      <c r="C33" s="5" t="s">
        <v>34</v>
      </c>
      <c r="D33" s="5" t="s">
        <v>16</v>
      </c>
      <c r="E33" s="5" t="s">
        <v>86</v>
      </c>
      <c r="F33" s="5">
        <v>10</v>
      </c>
      <c r="G33" s="5" t="s">
        <v>87</v>
      </c>
    </row>
    <row r="34" spans="1:7" ht="30">
      <c r="A34" s="3" t="s">
        <v>88</v>
      </c>
      <c r="B34" s="6" t="s">
        <v>33</v>
      </c>
      <c r="C34" s="5" t="s">
        <v>34</v>
      </c>
      <c r="D34" s="5" t="s">
        <v>89</v>
      </c>
      <c r="E34" s="5" t="s">
        <v>90</v>
      </c>
      <c r="F34" s="5">
        <v>20</v>
      </c>
      <c r="G34" s="5" t="s">
        <v>91</v>
      </c>
    </row>
    <row r="35" spans="1:7" ht="30">
      <c r="A35" s="3" t="s">
        <v>92</v>
      </c>
      <c r="B35" s="6" t="s">
        <v>33</v>
      </c>
      <c r="C35" s="5" t="s">
        <v>34</v>
      </c>
      <c r="D35" s="5" t="s">
        <v>93</v>
      </c>
      <c r="E35" s="5" t="s">
        <v>94</v>
      </c>
      <c r="F35" s="5">
        <v>14</v>
      </c>
      <c r="G35" s="5" t="s">
        <v>95</v>
      </c>
    </row>
    <row r="36" spans="1:7" ht="30">
      <c r="A36" s="3" t="s">
        <v>96</v>
      </c>
      <c r="B36" s="6" t="s">
        <v>33</v>
      </c>
      <c r="C36" s="5" t="s">
        <v>34</v>
      </c>
      <c r="D36" s="5" t="s">
        <v>16</v>
      </c>
      <c r="E36" s="5" t="s">
        <v>97</v>
      </c>
      <c r="F36" s="5">
        <v>15</v>
      </c>
      <c r="G36" s="5" t="s">
        <v>98</v>
      </c>
    </row>
    <row r="37" spans="1:7" ht="30">
      <c r="A37" s="3" t="s">
        <v>99</v>
      </c>
      <c r="B37" s="6" t="s">
        <v>33</v>
      </c>
      <c r="C37" s="5" t="s">
        <v>34</v>
      </c>
      <c r="D37" s="5" t="s">
        <v>16</v>
      </c>
      <c r="E37" s="5" t="s">
        <v>100</v>
      </c>
      <c r="F37" s="5">
        <v>5</v>
      </c>
      <c r="G37" s="5" t="s">
        <v>101</v>
      </c>
    </row>
    <row r="38" spans="1:7" ht="30">
      <c r="A38" s="3" t="s">
        <v>102</v>
      </c>
      <c r="B38" s="6" t="s">
        <v>33</v>
      </c>
      <c r="C38" s="5" t="s">
        <v>34</v>
      </c>
      <c r="D38" s="5" t="s">
        <v>103</v>
      </c>
      <c r="E38" s="5" t="s">
        <v>104</v>
      </c>
      <c r="F38" s="5">
        <v>12</v>
      </c>
      <c r="G38" s="5" t="s">
        <v>105</v>
      </c>
    </row>
    <row r="39" spans="1:7" ht="30">
      <c r="A39" s="3" t="s">
        <v>106</v>
      </c>
      <c r="B39" s="6" t="s">
        <v>33</v>
      </c>
      <c r="C39" s="5" t="s">
        <v>34</v>
      </c>
      <c r="D39" s="5" t="s">
        <v>16</v>
      </c>
      <c r="E39" s="5" t="s">
        <v>107</v>
      </c>
      <c r="F39" s="5">
        <v>7</v>
      </c>
      <c r="G39" s="5" t="s">
        <v>108</v>
      </c>
    </row>
    <row r="40" spans="1:7" ht="30">
      <c r="A40" s="3" t="s">
        <v>109</v>
      </c>
      <c r="B40" s="6" t="s">
        <v>33</v>
      </c>
      <c r="C40" s="5" t="s">
        <v>34</v>
      </c>
      <c r="D40" s="5" t="s">
        <v>110</v>
      </c>
      <c r="E40" s="5" t="s">
        <v>111</v>
      </c>
      <c r="F40" s="5">
        <v>8</v>
      </c>
      <c r="G40" s="5" t="s">
        <v>38</v>
      </c>
    </row>
    <row r="41" spans="1:7" ht="30">
      <c r="A41" s="3" t="s">
        <v>112</v>
      </c>
      <c r="B41" s="6" t="s">
        <v>33</v>
      </c>
      <c r="C41" s="5" t="s">
        <v>34</v>
      </c>
      <c r="D41" s="5" t="s">
        <v>113</v>
      </c>
      <c r="E41" s="5" t="s">
        <v>114</v>
      </c>
      <c r="F41" s="5">
        <v>9</v>
      </c>
      <c r="G41" s="5" t="s">
        <v>9</v>
      </c>
    </row>
    <row r="42" spans="1:7" ht="30">
      <c r="A42" s="3" t="s">
        <v>115</v>
      </c>
      <c r="B42" s="6" t="s">
        <v>33</v>
      </c>
      <c r="C42" s="5" t="s">
        <v>34</v>
      </c>
      <c r="D42" s="5" t="s">
        <v>116</v>
      </c>
      <c r="E42" s="5" t="s">
        <v>117</v>
      </c>
      <c r="F42" s="5">
        <v>18</v>
      </c>
      <c r="G42" s="5" t="s">
        <v>63</v>
      </c>
    </row>
    <row r="43" spans="1:7" ht="30">
      <c r="A43" s="3" t="s">
        <v>118</v>
      </c>
      <c r="B43" s="6" t="s">
        <v>33</v>
      </c>
      <c r="C43" s="5" t="s">
        <v>34</v>
      </c>
      <c r="D43" s="5" t="s">
        <v>19</v>
      </c>
      <c r="E43" s="5" t="s">
        <v>119</v>
      </c>
      <c r="F43" s="5">
        <v>6</v>
      </c>
      <c r="G43" s="5" t="s">
        <v>36</v>
      </c>
    </row>
    <row r="45" spans="1:7">
      <c r="A45" s="7" t="s">
        <v>120</v>
      </c>
      <c r="B45" s="8">
        <f>COUNTIF(B5:B43,"Tenant")</f>
        <v>32</v>
      </c>
    </row>
    <row r="46" spans="1:7">
      <c r="A46" s="7" t="s">
        <v>121</v>
      </c>
      <c r="B46" s="8">
        <f>COUNTIF(B5:B43,"Global (non-tenant)")</f>
        <v>7</v>
      </c>
    </row>
  </sheetData>
  <mergeCells count="1">
    <mergeCell ref="A2:G2"/>
  </mergeCells>
  <hyperlinks>
    <hyperlink ref="A5" location="#'companies'!A1" display="companies"/>
    <hyperlink ref="A6" location="#'company_settings'!A1" display="company_settings"/>
    <hyperlink ref="A7" location="#'global_users'!A1" display="global_users"/>
    <hyperlink ref="A8" location="#'login_activity'!A1" display="login_activity"/>
    <hyperlink ref="A9" location="#'jwt_tokens (global)'!A1" display="jwt_tokens (global)"/>
    <hyperlink ref="A10" location="#'b1_sessions'!A1" display="b1_sessions"/>
    <hyperlink ref="A11" location="#'schema_migrations'!A1" display="schema_migrations"/>
    <hyperlink ref="A12" location="#'vendors'!A1" display="vendors"/>
    <hyperlink ref="A13" location="#'users'!A1" display="users"/>
    <hyperlink ref="A14" location="#'user_approval_stages'!A1" display="user_approval_stages"/>
    <hyperlink ref="A15" location="#'doc_sequences'!A1" display="doc_sequences"/>
    <hyperlink ref="A16" location="#'sap_warehouses'!A1" display="sap_warehouses"/>
    <hyperlink ref="A17" location="#'sap_items'!A1" display="sap_items"/>
    <hyperlink ref="A18" location="#'sap_item_stock'!A1" display="sap_item_stock"/>
    <hyperlink ref="A19" location="#'sap_vendor_groups'!A1" display="sap_vendor_groups"/>
    <hyperlink ref="A20" location="#'sap_business_partners'!A1" display="sap_business_partners"/>
    <hyperlink ref="A21" location="#'sap_employees'!A1" display="sap_employees"/>
    <hyperlink ref="A22" location="#'sap_tax_codes'!A1" display="sap_tax_codes"/>
    <hyperlink ref="A23" location="#'vendor_documents'!A1" display="vendor_documents"/>
    <hyperlink ref="A24" location="#'approval_steps'!A1" display="approval_steps"/>
    <hyperlink ref="A25" location="#'purchase_requests'!A1" display="purchase_requests"/>
    <hyperlink ref="A26" location="#'purchase_request_lines'!A1" display="purchase_request_lines"/>
    <hyperlink ref="A27" location="#'rfqs'!A1" display="rfqs"/>
    <hyperlink ref="A28" location="#'rfq_lines'!A1" display="rfq_lines"/>
    <hyperlink ref="A29" location="#'rfq_line_sources'!A1" display="rfq_line_sources"/>
    <hyperlink ref="A30" location="#'rfq_vendors'!A1" display="rfq_vendors"/>
    <hyperlink ref="A31" location="#'quotations'!A1" display="quotations"/>
    <hyperlink ref="A32" location="#'quotation_lines'!A1" display="quotation_lines"/>
    <hyperlink ref="A33" location="#'rfq_awards'!A1" display="rfq_awards"/>
    <hyperlink ref="A34" location="#'purchase_orders'!A1" display="purchase_orders"/>
    <hyperlink ref="A35" location="#'purchase_order_lines'!A1" display="purchase_order_lines"/>
    <hyperlink ref="A36" location="#'asns'!A1" display="asns"/>
    <hyperlink ref="A37" location="#'asn_lines'!A1" display="asn_lines"/>
    <hyperlink ref="A38" location="#'grpos'!A1" display="grpos"/>
    <hyperlink ref="A39" location="#'grpo_lines'!A1" display="grpo_lines"/>
    <hyperlink ref="A40" location="#'vendor_score_snapshots'!A1" display="vendor_score_snapshots"/>
    <hyperlink ref="A41" location="#'sync_runs'!A1" display="sync_runs"/>
    <hyperlink ref="A42" location="#'sync_transactions'!A1" display="sync_transactions"/>
    <hyperlink ref="A43" location="#'jwt_tokens (tenant)'!A1" display="jwt_tokens (tenant)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22"/>
  <sheetViews>
    <sheetView workbookViewId="0">
      <pane ySplit="4" topLeftCell="A5" activePane="bottomLeft" state="frozen"/>
      <selection pane="bottomLeft" activeCell="B1" sqref="B1:B1048576"/>
    </sheetView>
  </sheetViews>
  <sheetFormatPr defaultRowHeight="15"/>
  <cols>
    <col min="1" max="1" width="26" customWidth="1"/>
    <col min="2" max="2" width="25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9</v>
      </c>
      <c r="H1" s="11" t="s">
        <v>123</v>
      </c>
    </row>
    <row r="2" spans="1:8">
      <c r="A2" s="9" t="s">
        <v>4</v>
      </c>
      <c r="B2" s="16" t="s">
        <v>737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135</v>
      </c>
      <c r="B6" s="5" t="s">
        <v>136</v>
      </c>
      <c r="C6" s="5" t="s">
        <v>137</v>
      </c>
      <c r="D6" s="12" t="s">
        <v>138</v>
      </c>
      <c r="E6" s="5" t="s">
        <v>139</v>
      </c>
      <c r="F6" s="5" t="s">
        <v>134</v>
      </c>
    </row>
    <row r="7" spans="1:8" ht="15" customHeight="1">
      <c r="A7" s="5" t="s">
        <v>140</v>
      </c>
      <c r="B7" s="5" t="s">
        <v>141</v>
      </c>
      <c r="C7" s="5" t="s">
        <v>142</v>
      </c>
      <c r="D7" s="12" t="s">
        <v>143</v>
      </c>
      <c r="E7" s="5" t="s">
        <v>14</v>
      </c>
      <c r="F7" s="5" t="s">
        <v>14</v>
      </c>
    </row>
    <row r="8" spans="1:8" ht="15" customHeight="1">
      <c r="A8" s="5" t="s">
        <v>144</v>
      </c>
      <c r="B8" s="5" t="s">
        <v>145</v>
      </c>
      <c r="C8" s="5" t="s">
        <v>146</v>
      </c>
      <c r="D8" s="12" t="s">
        <v>14</v>
      </c>
      <c r="E8" s="5" t="s">
        <v>14</v>
      </c>
      <c r="F8" s="5" t="s">
        <v>14</v>
      </c>
    </row>
    <row r="9" spans="1:8" ht="15" customHeight="1">
      <c r="A9" s="5" t="s">
        <v>147</v>
      </c>
      <c r="B9" s="5" t="s">
        <v>148</v>
      </c>
      <c r="C9" s="5" t="s">
        <v>149</v>
      </c>
      <c r="D9" s="12" t="s">
        <v>143</v>
      </c>
      <c r="E9" s="5" t="s">
        <v>150</v>
      </c>
      <c r="F9" s="5" t="s">
        <v>14</v>
      </c>
    </row>
    <row r="10" spans="1:8" ht="15" customHeight="1">
      <c r="A10" s="5" t="s">
        <v>151</v>
      </c>
      <c r="B10" s="5" t="s">
        <v>152</v>
      </c>
      <c r="C10" s="5" t="s">
        <v>153</v>
      </c>
      <c r="D10" s="12" t="s">
        <v>14</v>
      </c>
      <c r="E10" s="5" t="s">
        <v>14</v>
      </c>
      <c r="F10" s="5" t="s">
        <v>14</v>
      </c>
    </row>
    <row r="11" spans="1:8" ht="15" customHeight="1">
      <c r="A11" s="5" t="s">
        <v>154</v>
      </c>
      <c r="B11" s="5" t="s">
        <v>145</v>
      </c>
      <c r="C11" s="5" t="s">
        <v>155</v>
      </c>
      <c r="D11" s="12" t="s">
        <v>14</v>
      </c>
      <c r="E11" s="5" t="s">
        <v>14</v>
      </c>
      <c r="F11" s="5" t="s">
        <v>14</v>
      </c>
    </row>
    <row r="12" spans="1:8" ht="15" customHeight="1">
      <c r="A12" s="5" t="s">
        <v>156</v>
      </c>
      <c r="B12" s="5" t="s">
        <v>145</v>
      </c>
      <c r="C12" s="5" t="s">
        <v>157</v>
      </c>
      <c r="D12" s="12" t="s">
        <v>14</v>
      </c>
      <c r="E12" s="5" t="s">
        <v>14</v>
      </c>
      <c r="F12" s="5" t="s">
        <v>14</v>
      </c>
    </row>
    <row r="13" spans="1:8" ht="15" customHeight="1">
      <c r="A13" s="5" t="s">
        <v>158</v>
      </c>
      <c r="B13" s="5" t="s">
        <v>159</v>
      </c>
      <c r="C13" s="5" t="s">
        <v>160</v>
      </c>
      <c r="D13" s="12" t="s">
        <v>14</v>
      </c>
      <c r="E13" s="5" t="s">
        <v>161</v>
      </c>
      <c r="F13" s="5" t="s">
        <v>14</v>
      </c>
    </row>
    <row r="14" spans="1:8" ht="15" customHeight="1">
      <c r="A14" s="5" t="s">
        <v>162</v>
      </c>
      <c r="B14" s="5" t="s">
        <v>163</v>
      </c>
      <c r="C14" s="5" t="s">
        <v>164</v>
      </c>
      <c r="D14" s="12" t="s">
        <v>143</v>
      </c>
      <c r="E14" s="5" t="s">
        <v>165</v>
      </c>
      <c r="F14" s="5" t="s">
        <v>14</v>
      </c>
    </row>
    <row r="15" spans="1:8" ht="15" customHeight="1">
      <c r="A15" s="5" t="s">
        <v>166</v>
      </c>
      <c r="B15" s="5" t="s">
        <v>148</v>
      </c>
      <c r="C15" s="5" t="s">
        <v>167</v>
      </c>
      <c r="D15" s="12" t="s">
        <v>143</v>
      </c>
      <c r="E15" s="5" t="s">
        <v>168</v>
      </c>
      <c r="F15" s="5" t="s">
        <v>14</v>
      </c>
    </row>
    <row r="16" spans="1:8" ht="15" customHeight="1">
      <c r="A16" s="5" t="s">
        <v>169</v>
      </c>
      <c r="B16" s="5" t="s">
        <v>170</v>
      </c>
      <c r="C16" s="5" t="s">
        <v>171</v>
      </c>
      <c r="D16" s="12" t="s">
        <v>14</v>
      </c>
      <c r="E16" s="5" t="s">
        <v>14</v>
      </c>
      <c r="F16" s="5" t="s">
        <v>14</v>
      </c>
    </row>
    <row r="17" spans="1:6" ht="15" customHeight="1">
      <c r="A17" s="5" t="s">
        <v>172</v>
      </c>
      <c r="B17" s="5" t="s">
        <v>173</v>
      </c>
      <c r="C17" s="5" t="s">
        <v>174</v>
      </c>
      <c r="D17" s="12" t="s">
        <v>14</v>
      </c>
      <c r="E17" s="5" t="s">
        <v>14</v>
      </c>
      <c r="F17" s="5" t="s">
        <v>14</v>
      </c>
    </row>
    <row r="18" spans="1:6" ht="15" customHeight="1">
      <c r="A18" s="5" t="s">
        <v>175</v>
      </c>
      <c r="B18" s="5" t="s">
        <v>176</v>
      </c>
      <c r="C18" s="5" t="s">
        <v>177</v>
      </c>
      <c r="D18" s="12" t="s">
        <v>14</v>
      </c>
      <c r="E18" s="5" t="s">
        <v>14</v>
      </c>
      <c r="F18" s="5" t="s">
        <v>14</v>
      </c>
    </row>
    <row r="19" spans="1:6" ht="15" customHeight="1">
      <c r="A19" s="5" t="s">
        <v>178</v>
      </c>
      <c r="B19" s="5" t="s">
        <v>163</v>
      </c>
      <c r="C19" s="5" t="s">
        <v>179</v>
      </c>
      <c r="D19" s="12" t="s">
        <v>143</v>
      </c>
      <c r="E19" s="5" t="s">
        <v>165</v>
      </c>
      <c r="F19" s="5" t="s">
        <v>14</v>
      </c>
    </row>
    <row r="20" spans="1:6" ht="15" customHeight="1">
      <c r="A20" s="5" t="s">
        <v>180</v>
      </c>
      <c r="B20" s="5" t="s">
        <v>181</v>
      </c>
      <c r="C20" s="5" t="s">
        <v>182</v>
      </c>
      <c r="D20" s="12" t="s">
        <v>143</v>
      </c>
      <c r="E20" s="5" t="s">
        <v>183</v>
      </c>
      <c r="F20" s="5" t="s">
        <v>14</v>
      </c>
    </row>
    <row r="21" spans="1:6" ht="15" customHeight="1">
      <c r="A21" s="5" t="s">
        <v>184</v>
      </c>
      <c r="B21" s="5" t="s">
        <v>176</v>
      </c>
      <c r="C21" s="5" t="s">
        <v>185</v>
      </c>
      <c r="D21" s="12" t="s">
        <v>143</v>
      </c>
      <c r="E21" s="5" t="s">
        <v>186</v>
      </c>
      <c r="F21" s="5" t="s">
        <v>14</v>
      </c>
    </row>
    <row r="22" spans="1:6" ht="15" customHeight="1">
      <c r="A22" s="5" t="s">
        <v>187</v>
      </c>
      <c r="B22" s="5" t="s">
        <v>176</v>
      </c>
      <c r="C22" s="5" t="s">
        <v>188</v>
      </c>
      <c r="D22" s="12" t="s">
        <v>143</v>
      </c>
      <c r="E22" s="5" t="s">
        <v>186</v>
      </c>
      <c r="F22" s="5" t="s">
        <v>14</v>
      </c>
    </row>
  </sheetData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9"/>
  <sheetViews>
    <sheetView workbookViewId="0">
      <pane ySplit="4" topLeftCell="A5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15" t="s">
        <v>122</v>
      </c>
      <c r="B1" s="10" t="s">
        <v>15</v>
      </c>
      <c r="H1" s="11" t="s">
        <v>123</v>
      </c>
    </row>
    <row r="2" spans="1:8">
      <c r="A2" s="9" t="s">
        <v>4</v>
      </c>
      <c r="B2" s="18" t="s">
        <v>738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189</v>
      </c>
      <c r="B5" s="5" t="s">
        <v>131</v>
      </c>
      <c r="C5" s="5" t="s">
        <v>190</v>
      </c>
      <c r="D5" s="12" t="s">
        <v>191</v>
      </c>
      <c r="E5" s="5" t="s">
        <v>14</v>
      </c>
      <c r="F5" s="5" t="s">
        <v>134</v>
      </c>
    </row>
    <row r="6" spans="1:8" ht="15" customHeight="1">
      <c r="A6" s="5" t="s">
        <v>192</v>
      </c>
      <c r="B6" s="5" t="s">
        <v>148</v>
      </c>
      <c r="C6" s="5" t="s">
        <v>193</v>
      </c>
      <c r="D6" s="12" t="s">
        <v>143</v>
      </c>
      <c r="E6" s="5" t="s">
        <v>194</v>
      </c>
      <c r="F6" s="5" t="s">
        <v>14</v>
      </c>
    </row>
    <row r="7" spans="1:8" ht="15" customHeight="1">
      <c r="A7" s="5" t="s">
        <v>195</v>
      </c>
      <c r="B7" s="5" t="s">
        <v>163</v>
      </c>
      <c r="C7" s="5" t="s">
        <v>196</v>
      </c>
      <c r="D7" s="12" t="s">
        <v>143</v>
      </c>
      <c r="E7" s="5" t="s">
        <v>197</v>
      </c>
      <c r="F7" s="5" t="s">
        <v>14</v>
      </c>
    </row>
    <row r="8" spans="1:8" ht="15" customHeight="1">
      <c r="A8" s="5" t="s">
        <v>198</v>
      </c>
      <c r="B8" s="5" t="s">
        <v>199</v>
      </c>
      <c r="C8" s="5" t="s">
        <v>200</v>
      </c>
      <c r="D8" s="12" t="s">
        <v>143</v>
      </c>
      <c r="E8" s="5" t="s">
        <v>201</v>
      </c>
      <c r="F8" s="5" t="s">
        <v>14</v>
      </c>
    </row>
    <row r="9" spans="1:8" ht="15" customHeight="1">
      <c r="A9" s="5" t="s">
        <v>202</v>
      </c>
      <c r="B9" s="5" t="s">
        <v>199</v>
      </c>
      <c r="C9" s="5" t="s">
        <v>203</v>
      </c>
      <c r="D9" s="12" t="s">
        <v>143</v>
      </c>
      <c r="E9" s="5" t="s">
        <v>204</v>
      </c>
      <c r="F9" s="5" t="s">
        <v>14</v>
      </c>
    </row>
    <row r="10" spans="1:8" ht="15" customHeight="1">
      <c r="A10" s="5" t="s">
        <v>205</v>
      </c>
      <c r="B10" s="5" t="s">
        <v>199</v>
      </c>
      <c r="C10" s="5" t="s">
        <v>206</v>
      </c>
      <c r="D10" s="12" t="s">
        <v>143</v>
      </c>
      <c r="E10" s="5" t="s">
        <v>207</v>
      </c>
      <c r="F10" s="5" t="s">
        <v>14</v>
      </c>
    </row>
    <row r="11" spans="1:8" ht="15" customHeight="1">
      <c r="A11" s="5" t="s">
        <v>208</v>
      </c>
      <c r="B11" s="5" t="s">
        <v>209</v>
      </c>
      <c r="C11" s="5" t="s">
        <v>210</v>
      </c>
      <c r="D11" s="12" t="s">
        <v>14</v>
      </c>
      <c r="E11" s="5" t="s">
        <v>211</v>
      </c>
      <c r="F11" s="5" t="s">
        <v>14</v>
      </c>
    </row>
    <row r="12" spans="1:8" ht="15" customHeight="1">
      <c r="A12" s="5" t="s">
        <v>212</v>
      </c>
      <c r="B12" s="5" t="s">
        <v>213</v>
      </c>
      <c r="C12" s="5" t="s">
        <v>214</v>
      </c>
      <c r="D12" s="12" t="s">
        <v>143</v>
      </c>
      <c r="E12" s="5" t="s">
        <v>215</v>
      </c>
      <c r="F12" s="5" t="s">
        <v>14</v>
      </c>
    </row>
    <row r="13" spans="1:8" ht="15" customHeight="1">
      <c r="A13" s="5" t="s">
        <v>216</v>
      </c>
      <c r="B13" s="5" t="s">
        <v>209</v>
      </c>
      <c r="C13" s="5" t="s">
        <v>217</v>
      </c>
      <c r="D13" s="12" t="s">
        <v>143</v>
      </c>
      <c r="E13" s="5" t="s">
        <v>218</v>
      </c>
      <c r="F13" s="5" t="s">
        <v>14</v>
      </c>
    </row>
    <row r="14" spans="1:8" ht="15" customHeight="1">
      <c r="A14" s="5" t="s">
        <v>219</v>
      </c>
      <c r="B14" s="5" t="s">
        <v>148</v>
      </c>
      <c r="C14" s="5" t="s">
        <v>220</v>
      </c>
      <c r="D14" s="12" t="s">
        <v>14</v>
      </c>
      <c r="E14" s="5" t="s">
        <v>14</v>
      </c>
      <c r="F14" s="5" t="s">
        <v>14</v>
      </c>
    </row>
    <row r="15" spans="1:8" ht="15" customHeight="1">
      <c r="A15" s="5" t="s">
        <v>221</v>
      </c>
      <c r="B15" s="5" t="s">
        <v>148</v>
      </c>
      <c r="C15" s="5" t="s">
        <v>222</v>
      </c>
      <c r="D15" s="12" t="s">
        <v>14</v>
      </c>
      <c r="E15" s="5" t="s">
        <v>14</v>
      </c>
      <c r="F15" s="5" t="s">
        <v>14</v>
      </c>
    </row>
    <row r="16" spans="1:8" ht="30" customHeight="1">
      <c r="A16" s="5" t="s">
        <v>223</v>
      </c>
      <c r="B16" s="5" t="s">
        <v>163</v>
      </c>
      <c r="C16" s="5" t="s">
        <v>224</v>
      </c>
      <c r="D16" s="12" t="s">
        <v>143</v>
      </c>
      <c r="E16" s="5" t="s">
        <v>225</v>
      </c>
      <c r="F16" s="5" t="s">
        <v>14</v>
      </c>
    </row>
    <row r="17" spans="1:6" ht="15" customHeight="1">
      <c r="A17" s="5" t="s">
        <v>226</v>
      </c>
      <c r="B17" s="5" t="s">
        <v>227</v>
      </c>
      <c r="C17" s="5" t="s">
        <v>228</v>
      </c>
      <c r="D17" s="12" t="s">
        <v>143</v>
      </c>
      <c r="E17" s="5" t="s">
        <v>229</v>
      </c>
      <c r="F17" s="5" t="s">
        <v>14</v>
      </c>
    </row>
    <row r="18" spans="1:6" ht="15" customHeight="1">
      <c r="A18" s="5" t="s">
        <v>230</v>
      </c>
      <c r="B18" s="5" t="s">
        <v>209</v>
      </c>
      <c r="C18" s="5" t="s">
        <v>231</v>
      </c>
      <c r="D18" s="12" t="s">
        <v>143</v>
      </c>
      <c r="E18" s="5" t="s">
        <v>232</v>
      </c>
      <c r="F18" s="5" t="s">
        <v>14</v>
      </c>
    </row>
    <row r="19" spans="1:6" ht="15" customHeight="1">
      <c r="A19" s="5" t="s">
        <v>187</v>
      </c>
      <c r="B19" s="5" t="s">
        <v>176</v>
      </c>
      <c r="C19" s="5" t="s">
        <v>188</v>
      </c>
      <c r="D19" s="12" t="s">
        <v>143</v>
      </c>
      <c r="E19" s="5" t="s">
        <v>186</v>
      </c>
      <c r="F19" s="5" t="s">
        <v>14</v>
      </c>
    </row>
  </sheetData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23"/>
  <sheetViews>
    <sheetView workbookViewId="0">
      <pane ySplit="4" topLeftCell="A5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18</v>
      </c>
      <c r="H1" s="11" t="s">
        <v>123</v>
      </c>
    </row>
    <row r="2" spans="1:8">
      <c r="A2" s="9" t="s">
        <v>4</v>
      </c>
      <c r="B2" s="17" t="s">
        <v>739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189</v>
      </c>
      <c r="B6" s="5" t="s">
        <v>131</v>
      </c>
      <c r="C6" s="5" t="s">
        <v>190</v>
      </c>
      <c r="D6" s="12" t="s">
        <v>233</v>
      </c>
      <c r="E6" s="5" t="s">
        <v>234</v>
      </c>
      <c r="F6" s="5" t="s">
        <v>235</v>
      </c>
    </row>
    <row r="7" spans="1:8" ht="15" customHeight="1">
      <c r="A7" s="5" t="s">
        <v>140</v>
      </c>
      <c r="B7" s="5" t="s">
        <v>236</v>
      </c>
      <c r="C7" s="5" t="s">
        <v>142</v>
      </c>
      <c r="D7" s="12" t="s">
        <v>143</v>
      </c>
      <c r="E7" s="5" t="s">
        <v>14</v>
      </c>
      <c r="F7" s="5" t="s">
        <v>14</v>
      </c>
    </row>
    <row r="8" spans="1:8" ht="15" customHeight="1">
      <c r="A8" s="5" t="s">
        <v>237</v>
      </c>
      <c r="B8" s="5" t="s">
        <v>141</v>
      </c>
      <c r="C8" s="5" t="s">
        <v>238</v>
      </c>
      <c r="D8" s="12" t="s">
        <v>143</v>
      </c>
      <c r="E8" s="5" t="s">
        <v>14</v>
      </c>
      <c r="F8" s="5" t="s">
        <v>235</v>
      </c>
    </row>
    <row r="9" spans="1:8" ht="15" customHeight="1">
      <c r="A9" s="5" t="s">
        <v>239</v>
      </c>
      <c r="B9" s="5" t="s">
        <v>145</v>
      </c>
      <c r="C9" s="5" t="s">
        <v>240</v>
      </c>
      <c r="D9" s="12" t="s">
        <v>14</v>
      </c>
      <c r="E9" s="5" t="s">
        <v>241</v>
      </c>
      <c r="F9" s="5" t="s">
        <v>14</v>
      </c>
    </row>
    <row r="10" spans="1:8" ht="15" customHeight="1">
      <c r="A10" s="5" t="s">
        <v>242</v>
      </c>
      <c r="B10" s="5" t="s">
        <v>148</v>
      </c>
      <c r="C10" s="5" t="s">
        <v>243</v>
      </c>
      <c r="D10" s="12" t="s">
        <v>143</v>
      </c>
      <c r="E10" s="5" t="s">
        <v>244</v>
      </c>
      <c r="F10" s="5" t="s">
        <v>235</v>
      </c>
    </row>
    <row r="11" spans="1:8" ht="30" customHeight="1">
      <c r="A11" s="5" t="s">
        <v>245</v>
      </c>
      <c r="B11" s="5" t="s">
        <v>148</v>
      </c>
      <c r="C11" s="5" t="s">
        <v>246</v>
      </c>
      <c r="D11" s="12" t="s">
        <v>143</v>
      </c>
      <c r="E11" s="5" t="s">
        <v>247</v>
      </c>
      <c r="F11" s="5" t="s">
        <v>14</v>
      </c>
    </row>
    <row r="12" spans="1:8" ht="15" customHeight="1">
      <c r="A12" s="5" t="s">
        <v>248</v>
      </c>
      <c r="B12" s="5" t="s">
        <v>131</v>
      </c>
      <c r="C12" s="5" t="s">
        <v>249</v>
      </c>
      <c r="D12" s="12" t="s">
        <v>14</v>
      </c>
      <c r="E12" s="5" t="s">
        <v>250</v>
      </c>
      <c r="F12" s="5" t="s">
        <v>14</v>
      </c>
    </row>
    <row r="13" spans="1:8" ht="15" customHeight="1">
      <c r="A13" s="5" t="s">
        <v>251</v>
      </c>
      <c r="B13" s="5" t="s">
        <v>145</v>
      </c>
      <c r="C13" s="5" t="s">
        <v>252</v>
      </c>
      <c r="D13" s="12" t="s">
        <v>14</v>
      </c>
      <c r="E13" s="5" t="s">
        <v>253</v>
      </c>
      <c r="F13" s="5" t="s">
        <v>14</v>
      </c>
    </row>
    <row r="14" spans="1:8" ht="15" customHeight="1">
      <c r="A14" s="5" t="s">
        <v>254</v>
      </c>
      <c r="B14" s="5" t="s">
        <v>209</v>
      </c>
      <c r="C14" s="5" t="s">
        <v>255</v>
      </c>
      <c r="D14" s="12" t="s">
        <v>14</v>
      </c>
      <c r="E14" s="5" t="s">
        <v>256</v>
      </c>
      <c r="F14" s="5" t="s">
        <v>14</v>
      </c>
    </row>
    <row r="15" spans="1:8" ht="15" customHeight="1">
      <c r="A15" s="5" t="s">
        <v>257</v>
      </c>
      <c r="B15" s="5" t="s">
        <v>258</v>
      </c>
      <c r="C15" s="5" t="s">
        <v>259</v>
      </c>
      <c r="D15" s="12" t="s">
        <v>14</v>
      </c>
      <c r="E15" s="5" t="s">
        <v>14</v>
      </c>
      <c r="F15" s="5" t="s">
        <v>235</v>
      </c>
    </row>
    <row r="16" spans="1:8" ht="15" customHeight="1">
      <c r="A16" s="5" t="s">
        <v>260</v>
      </c>
      <c r="B16" s="5" t="s">
        <v>176</v>
      </c>
      <c r="C16" s="5" t="s">
        <v>261</v>
      </c>
      <c r="D16" s="12" t="s">
        <v>14</v>
      </c>
      <c r="E16" s="5" t="s">
        <v>14</v>
      </c>
      <c r="F16" s="5" t="s">
        <v>14</v>
      </c>
    </row>
    <row r="17" spans="1:6" ht="15" customHeight="1">
      <c r="A17" s="5" t="s">
        <v>262</v>
      </c>
      <c r="B17" s="5" t="s">
        <v>170</v>
      </c>
      <c r="C17" s="5" t="s">
        <v>263</v>
      </c>
      <c r="D17" s="12" t="s">
        <v>14</v>
      </c>
      <c r="E17" s="5" t="s">
        <v>14</v>
      </c>
      <c r="F17" s="5" t="s">
        <v>14</v>
      </c>
    </row>
    <row r="18" spans="1:6" ht="15" customHeight="1">
      <c r="A18" s="5" t="s">
        <v>264</v>
      </c>
      <c r="B18" s="5" t="s">
        <v>176</v>
      </c>
      <c r="C18" s="5" t="s">
        <v>265</v>
      </c>
      <c r="D18" s="12" t="s">
        <v>14</v>
      </c>
      <c r="E18" s="5" t="s">
        <v>14</v>
      </c>
      <c r="F18" s="5" t="s">
        <v>14</v>
      </c>
    </row>
    <row r="19" spans="1:6" ht="15" customHeight="1">
      <c r="A19" s="5" t="s">
        <v>184</v>
      </c>
      <c r="B19" s="5" t="s">
        <v>176</v>
      </c>
      <c r="C19" s="5" t="s">
        <v>185</v>
      </c>
      <c r="D19" s="12" t="s">
        <v>143</v>
      </c>
      <c r="E19" s="5" t="s">
        <v>186</v>
      </c>
      <c r="F19" s="5" t="s">
        <v>14</v>
      </c>
    </row>
    <row r="20" spans="1:6" ht="15" customHeight="1">
      <c r="A20" s="5" t="s">
        <v>187</v>
      </c>
      <c r="B20" s="5" t="s">
        <v>176</v>
      </c>
      <c r="C20" s="5" t="s">
        <v>188</v>
      </c>
      <c r="D20" s="12" t="s">
        <v>143</v>
      </c>
      <c r="E20" s="5" t="s">
        <v>186</v>
      </c>
      <c r="F20" s="5" t="s">
        <v>14</v>
      </c>
    </row>
    <row r="22" spans="1:6">
      <c r="A22" s="9" t="s">
        <v>266</v>
      </c>
      <c r="B22" s="14" t="s">
        <v>267</v>
      </c>
      <c r="C22" s="14"/>
      <c r="D22" s="14"/>
      <c r="E22" s="14"/>
    </row>
    <row r="23" spans="1:6">
      <c r="A23" s="9" t="s">
        <v>266</v>
      </c>
      <c r="B23" s="14" t="s">
        <v>268</v>
      </c>
      <c r="C23" s="14"/>
      <c r="D23" s="14"/>
      <c r="E23" s="14"/>
    </row>
  </sheetData>
  <mergeCells count="2">
    <mergeCell ref="B22:E22"/>
    <mergeCell ref="B23:E23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2"/>
  <sheetViews>
    <sheetView workbookViewId="0">
      <pane ySplit="4" topLeftCell="A5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21</v>
      </c>
      <c r="H1" s="11" t="s">
        <v>123</v>
      </c>
    </row>
    <row r="2" spans="1:8">
      <c r="A2" s="9" t="s">
        <v>4</v>
      </c>
      <c r="B2" s="17" t="s">
        <v>740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269</v>
      </c>
      <c r="B6" s="5" t="s">
        <v>131</v>
      </c>
      <c r="C6" s="5" t="s">
        <v>270</v>
      </c>
      <c r="D6" s="12" t="s">
        <v>271</v>
      </c>
      <c r="E6" s="5" t="s">
        <v>14</v>
      </c>
      <c r="F6" s="5" t="s">
        <v>14</v>
      </c>
    </row>
    <row r="7" spans="1:8" ht="15" customHeight="1">
      <c r="A7" s="5" t="s">
        <v>189</v>
      </c>
      <c r="B7" s="5" t="s">
        <v>131</v>
      </c>
      <c r="C7" s="5" t="s">
        <v>190</v>
      </c>
      <c r="D7" s="12" t="s">
        <v>233</v>
      </c>
      <c r="E7" s="5" t="s">
        <v>14</v>
      </c>
      <c r="F7" s="5" t="s">
        <v>235</v>
      </c>
    </row>
    <row r="8" spans="1:8" ht="15" customHeight="1">
      <c r="A8" s="5" t="s">
        <v>237</v>
      </c>
      <c r="B8" s="5" t="s">
        <v>141</v>
      </c>
      <c r="C8" s="5" t="s">
        <v>238</v>
      </c>
      <c r="D8" s="12" t="s">
        <v>14</v>
      </c>
      <c r="E8" s="5" t="s">
        <v>14</v>
      </c>
      <c r="F8" s="5" t="s">
        <v>14</v>
      </c>
    </row>
    <row r="9" spans="1:8" ht="15" customHeight="1">
      <c r="A9" s="5" t="s">
        <v>272</v>
      </c>
      <c r="B9" s="5" t="s">
        <v>148</v>
      </c>
      <c r="C9" s="5" t="s">
        <v>273</v>
      </c>
      <c r="D9" s="12" t="s">
        <v>143</v>
      </c>
      <c r="E9" s="5" t="s">
        <v>274</v>
      </c>
      <c r="F9" s="5" t="s">
        <v>14</v>
      </c>
    </row>
    <row r="10" spans="1:8" ht="15" customHeight="1">
      <c r="A10" s="5" t="s">
        <v>275</v>
      </c>
      <c r="B10" s="5" t="s">
        <v>276</v>
      </c>
      <c r="C10" s="5" t="s">
        <v>277</v>
      </c>
      <c r="D10" s="12" t="s">
        <v>14</v>
      </c>
      <c r="E10" s="5" t="s">
        <v>14</v>
      </c>
      <c r="F10" s="5" t="s">
        <v>14</v>
      </c>
    </row>
    <row r="11" spans="1:8" ht="15" customHeight="1">
      <c r="A11" s="5" t="s">
        <v>278</v>
      </c>
      <c r="B11" s="5" t="s">
        <v>279</v>
      </c>
      <c r="C11" s="5" t="s">
        <v>280</v>
      </c>
      <c r="D11" s="12" t="s">
        <v>14</v>
      </c>
      <c r="E11" s="5" t="s">
        <v>14</v>
      </c>
      <c r="F11" s="5" t="s">
        <v>14</v>
      </c>
    </row>
    <row r="12" spans="1:8" ht="15" customHeight="1">
      <c r="A12" s="5" t="s">
        <v>281</v>
      </c>
      <c r="B12" s="5" t="s">
        <v>176</v>
      </c>
      <c r="C12" s="5" t="s">
        <v>282</v>
      </c>
      <c r="D12" s="12" t="s">
        <v>143</v>
      </c>
      <c r="E12" s="5" t="s">
        <v>186</v>
      </c>
      <c r="F12" s="5" t="s">
        <v>235</v>
      </c>
    </row>
  </sheetData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0"/>
  <sheetViews>
    <sheetView workbookViewId="0">
      <pane ySplit="4" topLeftCell="A5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283</v>
      </c>
      <c r="H1" s="11" t="s">
        <v>123</v>
      </c>
    </row>
    <row r="2" spans="1:8">
      <c r="A2" s="9" t="s">
        <v>4</v>
      </c>
      <c r="B2" s="17" t="s">
        <v>739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269</v>
      </c>
      <c r="B6" s="5" t="s">
        <v>131</v>
      </c>
      <c r="C6" s="5" t="s">
        <v>270</v>
      </c>
      <c r="D6" s="12" t="s">
        <v>284</v>
      </c>
      <c r="E6" s="5" t="s">
        <v>14</v>
      </c>
      <c r="F6" s="5" t="s">
        <v>235</v>
      </c>
    </row>
    <row r="7" spans="1:8" ht="15" customHeight="1">
      <c r="A7" s="5" t="s">
        <v>242</v>
      </c>
      <c r="B7" s="5" t="s">
        <v>148</v>
      </c>
      <c r="C7" s="5" t="s">
        <v>243</v>
      </c>
      <c r="D7" s="12" t="s">
        <v>14</v>
      </c>
      <c r="E7" s="5" t="s">
        <v>14</v>
      </c>
      <c r="F7" s="5" t="s">
        <v>14</v>
      </c>
    </row>
    <row r="8" spans="1:8" ht="15" customHeight="1">
      <c r="A8" s="5" t="s">
        <v>285</v>
      </c>
      <c r="B8" s="5" t="s">
        <v>276</v>
      </c>
      <c r="C8" s="5" t="s">
        <v>286</v>
      </c>
      <c r="D8" s="12" t="s">
        <v>143</v>
      </c>
      <c r="E8" s="5" t="s">
        <v>14</v>
      </c>
      <c r="F8" s="5" t="s">
        <v>14</v>
      </c>
    </row>
    <row r="9" spans="1:8" ht="15" customHeight="1">
      <c r="A9" s="5" t="s">
        <v>287</v>
      </c>
      <c r="B9" s="5" t="s">
        <v>176</v>
      </c>
      <c r="C9" s="5" t="s">
        <v>288</v>
      </c>
      <c r="D9" s="12" t="s">
        <v>143</v>
      </c>
      <c r="E9" s="5" t="s">
        <v>186</v>
      </c>
      <c r="F9" s="5" t="s">
        <v>14</v>
      </c>
    </row>
    <row r="10" spans="1:8" ht="15" customHeight="1">
      <c r="A10" s="5" t="s">
        <v>289</v>
      </c>
      <c r="B10" s="5" t="s">
        <v>176</v>
      </c>
      <c r="C10" s="5" t="s">
        <v>290</v>
      </c>
      <c r="D10" s="12" t="s">
        <v>14</v>
      </c>
      <c r="E10" s="5" t="s">
        <v>14</v>
      </c>
      <c r="F10" s="5" t="s">
        <v>14</v>
      </c>
    </row>
  </sheetData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2"/>
  <sheetViews>
    <sheetView workbookViewId="0">
      <pane ySplit="4" topLeftCell="A5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27</v>
      </c>
      <c r="H1" s="11" t="s">
        <v>123</v>
      </c>
    </row>
    <row r="2" spans="1:8">
      <c r="A2" s="9" t="s">
        <v>4</v>
      </c>
      <c r="B2" s="17" t="s">
        <v>738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189</v>
      </c>
      <c r="B5" s="5" t="s">
        <v>131</v>
      </c>
      <c r="C5" s="5" t="s">
        <v>190</v>
      </c>
      <c r="D5" s="12" t="s">
        <v>191</v>
      </c>
      <c r="E5" s="5" t="s">
        <v>14</v>
      </c>
      <c r="F5" s="5" t="s">
        <v>134</v>
      </c>
    </row>
    <row r="6" spans="1:8" ht="15" customHeight="1">
      <c r="A6" s="5" t="s">
        <v>135</v>
      </c>
      <c r="B6" s="5" t="s">
        <v>136</v>
      </c>
      <c r="C6" s="5" t="s">
        <v>137</v>
      </c>
      <c r="D6" s="12" t="s">
        <v>14</v>
      </c>
      <c r="E6" s="5" t="s">
        <v>14</v>
      </c>
      <c r="F6" s="5" t="s">
        <v>14</v>
      </c>
    </row>
    <row r="7" spans="1:8" ht="15" customHeight="1">
      <c r="A7" s="5" t="s">
        <v>291</v>
      </c>
      <c r="B7" s="5" t="s">
        <v>145</v>
      </c>
      <c r="C7" s="5" t="s">
        <v>292</v>
      </c>
      <c r="D7" s="12" t="s">
        <v>14</v>
      </c>
      <c r="E7" s="5" t="s">
        <v>14</v>
      </c>
      <c r="F7" s="5" t="s">
        <v>14</v>
      </c>
    </row>
    <row r="8" spans="1:8" ht="15" customHeight="1">
      <c r="A8" s="5" t="s">
        <v>293</v>
      </c>
      <c r="B8" s="5" t="s">
        <v>159</v>
      </c>
      <c r="C8" s="5" t="s">
        <v>294</v>
      </c>
      <c r="D8" s="12" t="s">
        <v>14</v>
      </c>
      <c r="E8" s="5" t="s">
        <v>14</v>
      </c>
      <c r="F8" s="5" t="s">
        <v>14</v>
      </c>
    </row>
    <row r="9" spans="1:8" ht="15" customHeight="1">
      <c r="A9" s="5" t="s">
        <v>295</v>
      </c>
      <c r="B9" s="5" t="s">
        <v>145</v>
      </c>
      <c r="C9" s="5" t="s">
        <v>296</v>
      </c>
      <c r="D9" s="12" t="s">
        <v>14</v>
      </c>
      <c r="E9" s="5" t="s">
        <v>14</v>
      </c>
      <c r="F9" s="5" t="s">
        <v>14</v>
      </c>
    </row>
    <row r="10" spans="1:8" ht="15" customHeight="1">
      <c r="A10" s="5" t="s">
        <v>289</v>
      </c>
      <c r="B10" s="5" t="s">
        <v>176</v>
      </c>
      <c r="C10" s="5" t="s">
        <v>290</v>
      </c>
      <c r="D10" s="12" t="s">
        <v>14</v>
      </c>
      <c r="E10" s="5" t="s">
        <v>14</v>
      </c>
      <c r="F10" s="5" t="s">
        <v>14</v>
      </c>
    </row>
    <row r="11" spans="1:8" ht="15" customHeight="1">
      <c r="A11" s="5" t="s">
        <v>184</v>
      </c>
      <c r="B11" s="5" t="s">
        <v>176</v>
      </c>
      <c r="C11" s="5" t="s">
        <v>185</v>
      </c>
      <c r="D11" s="12" t="s">
        <v>143</v>
      </c>
      <c r="E11" s="5" t="s">
        <v>186</v>
      </c>
      <c r="F11" s="5" t="s">
        <v>14</v>
      </c>
    </row>
    <row r="12" spans="1:8" ht="15" customHeight="1">
      <c r="A12" s="5" t="s">
        <v>187</v>
      </c>
      <c r="B12" s="5" t="s">
        <v>176</v>
      </c>
      <c r="C12" s="5" t="s">
        <v>188</v>
      </c>
      <c r="D12" s="12" t="s">
        <v>143</v>
      </c>
      <c r="E12" s="5" t="s">
        <v>186</v>
      </c>
      <c r="F12" s="5" t="s">
        <v>14</v>
      </c>
    </row>
  </sheetData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8"/>
  <sheetViews>
    <sheetView workbookViewId="0">
      <pane ySplit="4" topLeftCell="A5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29</v>
      </c>
      <c r="H1" s="11" t="s">
        <v>123</v>
      </c>
    </row>
    <row r="2" spans="1:8">
      <c r="A2" s="9" t="s">
        <v>4</v>
      </c>
      <c r="B2" s="17" t="s">
        <v>738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297</v>
      </c>
      <c r="B5" s="5" t="s">
        <v>145</v>
      </c>
      <c r="C5" s="5" t="s">
        <v>298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299</v>
      </c>
      <c r="B6" s="5" t="s">
        <v>176</v>
      </c>
      <c r="C6" s="5" t="s">
        <v>300</v>
      </c>
      <c r="D6" s="12" t="s">
        <v>143</v>
      </c>
      <c r="E6" s="5" t="s">
        <v>186</v>
      </c>
      <c r="F6" s="5" t="s">
        <v>14</v>
      </c>
    </row>
    <row r="8" spans="1:8">
      <c r="A8" s="9" t="s">
        <v>266</v>
      </c>
      <c r="B8" s="14" t="s">
        <v>301</v>
      </c>
      <c r="C8" s="14"/>
      <c r="D8" s="14"/>
      <c r="E8" s="14"/>
    </row>
  </sheetData>
  <mergeCells count="1">
    <mergeCell ref="B8:E8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34"/>
  <sheetViews>
    <sheetView workbookViewId="0">
      <pane ySplit="4" topLeftCell="A5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32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189</v>
      </c>
      <c r="B6" s="5" t="s">
        <v>131</v>
      </c>
      <c r="C6" s="5" t="s">
        <v>190</v>
      </c>
      <c r="D6" s="12" t="s">
        <v>303</v>
      </c>
      <c r="E6" s="5" t="s">
        <v>14</v>
      </c>
      <c r="F6" s="5" t="s">
        <v>235</v>
      </c>
    </row>
    <row r="7" spans="1:8" ht="15" customHeight="1">
      <c r="A7" s="5" t="s">
        <v>304</v>
      </c>
      <c r="B7" s="5" t="s">
        <v>141</v>
      </c>
      <c r="C7" s="5" t="s">
        <v>305</v>
      </c>
      <c r="D7" s="12" t="s">
        <v>143</v>
      </c>
      <c r="E7" s="5" t="s">
        <v>14</v>
      </c>
      <c r="F7" s="5" t="s">
        <v>14</v>
      </c>
    </row>
    <row r="8" spans="1:8" ht="15" customHeight="1">
      <c r="A8" s="5" t="s">
        <v>306</v>
      </c>
      <c r="B8" s="5" t="s">
        <v>236</v>
      </c>
      <c r="C8" s="5" t="s">
        <v>307</v>
      </c>
      <c r="D8" s="12" t="s">
        <v>14</v>
      </c>
      <c r="E8" s="5" t="s">
        <v>14</v>
      </c>
      <c r="F8" s="5" t="s">
        <v>14</v>
      </c>
    </row>
    <row r="9" spans="1:8" ht="15" customHeight="1">
      <c r="A9" s="5" t="s">
        <v>237</v>
      </c>
      <c r="B9" s="5" t="s">
        <v>141</v>
      </c>
      <c r="C9" s="5" t="s">
        <v>238</v>
      </c>
      <c r="D9" s="12" t="s">
        <v>14</v>
      </c>
      <c r="E9" s="5" t="s">
        <v>14</v>
      </c>
      <c r="F9" s="5" t="s">
        <v>14</v>
      </c>
    </row>
    <row r="10" spans="1:8" ht="15" customHeight="1">
      <c r="A10" s="5" t="s">
        <v>308</v>
      </c>
      <c r="B10" s="5" t="s">
        <v>309</v>
      </c>
      <c r="C10" s="5" t="s">
        <v>310</v>
      </c>
      <c r="D10" s="12" t="s">
        <v>14</v>
      </c>
      <c r="E10" s="5" t="s">
        <v>14</v>
      </c>
      <c r="F10" s="5" t="s">
        <v>14</v>
      </c>
    </row>
    <row r="11" spans="1:8" ht="15" customHeight="1">
      <c r="A11" s="5" t="s">
        <v>311</v>
      </c>
      <c r="B11" s="5" t="s">
        <v>213</v>
      </c>
      <c r="C11" s="5" t="s">
        <v>312</v>
      </c>
      <c r="D11" s="12" t="s">
        <v>143</v>
      </c>
      <c r="E11" s="5" t="s">
        <v>313</v>
      </c>
      <c r="F11" s="5" t="s">
        <v>14</v>
      </c>
    </row>
    <row r="12" spans="1:8" ht="15" customHeight="1">
      <c r="A12" s="5" t="s">
        <v>314</v>
      </c>
      <c r="B12" s="5" t="s">
        <v>315</v>
      </c>
      <c r="C12" s="5" t="s">
        <v>316</v>
      </c>
      <c r="D12" s="12" t="s">
        <v>14</v>
      </c>
      <c r="E12" s="5" t="s">
        <v>317</v>
      </c>
      <c r="F12" s="5" t="s">
        <v>235</v>
      </c>
    </row>
    <row r="13" spans="1:8" ht="15" customHeight="1">
      <c r="A13" s="5" t="s">
        <v>318</v>
      </c>
      <c r="B13" s="5" t="s">
        <v>213</v>
      </c>
      <c r="C13" s="5" t="s">
        <v>319</v>
      </c>
      <c r="D13" s="12" t="s">
        <v>14</v>
      </c>
      <c r="E13" s="5" t="s">
        <v>320</v>
      </c>
      <c r="F13" s="5" t="s">
        <v>14</v>
      </c>
    </row>
    <row r="14" spans="1:8" ht="15" customHeight="1">
      <c r="A14" s="5" t="s">
        <v>321</v>
      </c>
      <c r="B14" s="5" t="s">
        <v>209</v>
      </c>
      <c r="C14" s="5" t="s">
        <v>322</v>
      </c>
      <c r="D14" s="12" t="s">
        <v>14</v>
      </c>
      <c r="E14" s="5" t="s">
        <v>323</v>
      </c>
      <c r="F14" s="5" t="s">
        <v>14</v>
      </c>
    </row>
    <row r="15" spans="1:8" ht="15" customHeight="1">
      <c r="A15" s="5" t="s">
        <v>324</v>
      </c>
      <c r="B15" s="5" t="s">
        <v>145</v>
      </c>
      <c r="C15" s="5" t="s">
        <v>325</v>
      </c>
      <c r="D15" s="12" t="s">
        <v>14</v>
      </c>
      <c r="E15" s="5" t="s">
        <v>14</v>
      </c>
      <c r="F15" s="5" t="s">
        <v>14</v>
      </c>
    </row>
    <row r="16" spans="1:8" ht="15" customHeight="1">
      <c r="A16" s="5" t="s">
        <v>326</v>
      </c>
      <c r="B16" s="5" t="s">
        <v>141</v>
      </c>
      <c r="C16" s="5" t="s">
        <v>327</v>
      </c>
      <c r="D16" s="12" t="s">
        <v>14</v>
      </c>
      <c r="E16" s="5" t="s">
        <v>14</v>
      </c>
      <c r="F16" s="5" t="s">
        <v>14</v>
      </c>
    </row>
    <row r="17" spans="1:6" ht="15" customHeight="1">
      <c r="A17" s="5" t="s">
        <v>328</v>
      </c>
      <c r="B17" s="5" t="s">
        <v>145</v>
      </c>
      <c r="C17" s="5" t="s">
        <v>329</v>
      </c>
      <c r="D17" s="12" t="s">
        <v>14</v>
      </c>
      <c r="E17" s="5" t="s">
        <v>14</v>
      </c>
      <c r="F17" s="5" t="s">
        <v>14</v>
      </c>
    </row>
    <row r="18" spans="1:6" ht="15" customHeight="1">
      <c r="A18" s="5" t="s">
        <v>330</v>
      </c>
      <c r="B18" s="5" t="s">
        <v>145</v>
      </c>
      <c r="C18" s="5" t="s">
        <v>331</v>
      </c>
      <c r="D18" s="12" t="s">
        <v>14</v>
      </c>
      <c r="E18" s="5" t="s">
        <v>14</v>
      </c>
      <c r="F18" s="5" t="s">
        <v>14</v>
      </c>
    </row>
    <row r="19" spans="1:6" ht="15" customHeight="1">
      <c r="A19" s="5" t="s">
        <v>332</v>
      </c>
      <c r="B19" s="5" t="s">
        <v>148</v>
      </c>
      <c r="C19" s="5" t="s">
        <v>333</v>
      </c>
      <c r="D19" s="12" t="s">
        <v>14</v>
      </c>
      <c r="E19" s="5" t="s">
        <v>14</v>
      </c>
      <c r="F19" s="5" t="s">
        <v>14</v>
      </c>
    </row>
    <row r="20" spans="1:6" ht="15" customHeight="1">
      <c r="A20" s="5" t="s">
        <v>334</v>
      </c>
      <c r="B20" s="5" t="s">
        <v>227</v>
      </c>
      <c r="C20" s="5" t="s">
        <v>335</v>
      </c>
      <c r="D20" s="12" t="s">
        <v>14</v>
      </c>
      <c r="E20" s="5" t="s">
        <v>14</v>
      </c>
      <c r="F20" s="5" t="s">
        <v>14</v>
      </c>
    </row>
    <row r="21" spans="1:6" ht="15" customHeight="1">
      <c r="A21" s="5" t="s">
        <v>336</v>
      </c>
      <c r="B21" s="5" t="s">
        <v>315</v>
      </c>
      <c r="C21" s="5" t="s">
        <v>337</v>
      </c>
      <c r="D21" s="12" t="s">
        <v>14</v>
      </c>
      <c r="E21" s="5" t="s">
        <v>14</v>
      </c>
      <c r="F21" s="5" t="s">
        <v>14</v>
      </c>
    </row>
    <row r="22" spans="1:6" ht="15" customHeight="1">
      <c r="A22" s="5" t="s">
        <v>338</v>
      </c>
      <c r="B22" s="5" t="s">
        <v>213</v>
      </c>
      <c r="C22" s="5" t="s">
        <v>339</v>
      </c>
      <c r="D22" s="12" t="s">
        <v>14</v>
      </c>
      <c r="E22" s="5" t="s">
        <v>14</v>
      </c>
      <c r="F22" s="5" t="s">
        <v>14</v>
      </c>
    </row>
    <row r="23" spans="1:6" ht="15" customHeight="1">
      <c r="A23" s="5" t="s">
        <v>340</v>
      </c>
      <c r="B23" s="5" t="s">
        <v>145</v>
      </c>
      <c r="C23" s="5" t="s">
        <v>341</v>
      </c>
      <c r="D23" s="12" t="s">
        <v>14</v>
      </c>
      <c r="E23" s="5" t="s">
        <v>14</v>
      </c>
      <c r="F23" s="5" t="s">
        <v>14</v>
      </c>
    </row>
    <row r="24" spans="1:6" ht="15" customHeight="1">
      <c r="A24" s="5" t="s">
        <v>342</v>
      </c>
      <c r="B24" s="5" t="s">
        <v>309</v>
      </c>
      <c r="C24" s="5" t="s">
        <v>343</v>
      </c>
      <c r="D24" s="12" t="s">
        <v>14</v>
      </c>
      <c r="E24" s="5" t="s">
        <v>14</v>
      </c>
      <c r="F24" s="5" t="s">
        <v>14</v>
      </c>
    </row>
    <row r="25" spans="1:6" ht="15" customHeight="1">
      <c r="A25" s="5" t="s">
        <v>344</v>
      </c>
      <c r="B25" s="5" t="s">
        <v>345</v>
      </c>
      <c r="C25" s="5" t="s">
        <v>346</v>
      </c>
      <c r="D25" s="12" t="s">
        <v>14</v>
      </c>
      <c r="E25" s="5" t="s">
        <v>14</v>
      </c>
      <c r="F25" s="5" t="s">
        <v>14</v>
      </c>
    </row>
    <row r="26" spans="1:6" ht="15" customHeight="1">
      <c r="A26" s="5" t="s">
        <v>347</v>
      </c>
      <c r="B26" s="5" t="s">
        <v>136</v>
      </c>
      <c r="C26" s="5" t="s">
        <v>348</v>
      </c>
      <c r="D26" s="12" t="s">
        <v>14</v>
      </c>
      <c r="E26" s="5" t="s">
        <v>349</v>
      </c>
      <c r="F26" s="5" t="s">
        <v>14</v>
      </c>
    </row>
    <row r="27" spans="1:6" ht="30" customHeight="1">
      <c r="A27" s="5" t="s">
        <v>245</v>
      </c>
      <c r="B27" s="5" t="s">
        <v>350</v>
      </c>
      <c r="C27" s="5" t="s">
        <v>246</v>
      </c>
      <c r="D27" s="12" t="s">
        <v>143</v>
      </c>
      <c r="E27" s="5" t="s">
        <v>351</v>
      </c>
      <c r="F27" s="5" t="s">
        <v>235</v>
      </c>
    </row>
    <row r="28" spans="1:6" ht="15" customHeight="1">
      <c r="A28" s="5" t="s">
        <v>352</v>
      </c>
      <c r="B28" s="5" t="s">
        <v>353</v>
      </c>
      <c r="C28" s="5" t="s">
        <v>354</v>
      </c>
      <c r="D28" s="12" t="s">
        <v>143</v>
      </c>
      <c r="E28" s="5" t="s">
        <v>355</v>
      </c>
      <c r="F28" s="5" t="s">
        <v>14</v>
      </c>
    </row>
    <row r="29" spans="1:6" ht="15" customHeight="1">
      <c r="A29" s="5" t="s">
        <v>262</v>
      </c>
      <c r="B29" s="5" t="s">
        <v>170</v>
      </c>
      <c r="C29" s="5" t="s">
        <v>263</v>
      </c>
      <c r="D29" s="12" t="s">
        <v>14</v>
      </c>
      <c r="E29" s="5" t="s">
        <v>14</v>
      </c>
      <c r="F29" s="5" t="s">
        <v>14</v>
      </c>
    </row>
    <row r="30" spans="1:6" ht="15" customHeight="1">
      <c r="A30" s="5" t="s">
        <v>356</v>
      </c>
      <c r="B30" s="5" t="s">
        <v>131</v>
      </c>
      <c r="C30" s="5" t="s">
        <v>357</v>
      </c>
      <c r="D30" s="12" t="s">
        <v>14</v>
      </c>
      <c r="E30" s="5" t="s">
        <v>14</v>
      </c>
      <c r="F30" s="5" t="s">
        <v>14</v>
      </c>
    </row>
    <row r="31" spans="1:6" ht="15" customHeight="1">
      <c r="A31" s="5" t="s">
        <v>358</v>
      </c>
      <c r="B31" s="5" t="s">
        <v>181</v>
      </c>
      <c r="C31" s="5" t="s">
        <v>359</v>
      </c>
      <c r="D31" s="12" t="s">
        <v>143</v>
      </c>
      <c r="E31" s="5" t="s">
        <v>183</v>
      </c>
      <c r="F31" s="5" t="s">
        <v>14</v>
      </c>
    </row>
    <row r="32" spans="1:6" ht="15" customHeight="1">
      <c r="A32" s="5" t="s">
        <v>360</v>
      </c>
      <c r="B32" s="5" t="s">
        <v>176</v>
      </c>
      <c r="C32" s="5" t="s">
        <v>361</v>
      </c>
      <c r="D32" s="12" t="s">
        <v>14</v>
      </c>
      <c r="E32" s="5" t="s">
        <v>14</v>
      </c>
      <c r="F32" s="5" t="s">
        <v>14</v>
      </c>
    </row>
    <row r="33" spans="1:6" ht="15" customHeight="1">
      <c r="A33" s="5" t="s">
        <v>184</v>
      </c>
      <c r="B33" s="5" t="s">
        <v>176</v>
      </c>
      <c r="C33" s="5" t="s">
        <v>185</v>
      </c>
      <c r="D33" s="12" t="s">
        <v>143</v>
      </c>
      <c r="E33" s="5" t="s">
        <v>186</v>
      </c>
      <c r="F33" s="5" t="s">
        <v>14</v>
      </c>
    </row>
    <row r="34" spans="1:6" ht="15" customHeight="1">
      <c r="A34" s="5" t="s">
        <v>187</v>
      </c>
      <c r="B34" s="5" t="s">
        <v>176</v>
      </c>
      <c r="C34" s="5" t="s">
        <v>188</v>
      </c>
      <c r="D34" s="12" t="s">
        <v>143</v>
      </c>
      <c r="E34" s="5" t="s">
        <v>186</v>
      </c>
      <c r="F34" s="5" t="s">
        <v>14</v>
      </c>
    </row>
  </sheetData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23"/>
  <sheetViews>
    <sheetView workbookViewId="0">
      <pane ySplit="4" topLeftCell="A5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36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189</v>
      </c>
      <c r="B6" s="5" t="s">
        <v>131</v>
      </c>
      <c r="C6" s="5" t="s">
        <v>190</v>
      </c>
      <c r="D6" s="12" t="s">
        <v>362</v>
      </c>
      <c r="E6" s="5" t="s">
        <v>234</v>
      </c>
      <c r="F6" s="5" t="s">
        <v>235</v>
      </c>
    </row>
    <row r="7" spans="1:8" ht="15" customHeight="1">
      <c r="A7" s="5" t="s">
        <v>140</v>
      </c>
      <c r="B7" s="5" t="s">
        <v>236</v>
      </c>
      <c r="C7" s="5" t="s">
        <v>142</v>
      </c>
      <c r="D7" s="12" t="s">
        <v>143</v>
      </c>
      <c r="E7" s="5" t="s">
        <v>14</v>
      </c>
      <c r="F7" s="5" t="s">
        <v>14</v>
      </c>
    </row>
    <row r="8" spans="1:8" ht="15" customHeight="1">
      <c r="A8" s="5" t="s">
        <v>237</v>
      </c>
      <c r="B8" s="5" t="s">
        <v>141</v>
      </c>
      <c r="C8" s="5" t="s">
        <v>238</v>
      </c>
      <c r="D8" s="12" t="s">
        <v>143</v>
      </c>
      <c r="E8" s="5" t="s">
        <v>14</v>
      </c>
      <c r="F8" s="5" t="s">
        <v>235</v>
      </c>
    </row>
    <row r="9" spans="1:8" ht="15" customHeight="1">
      <c r="A9" s="5" t="s">
        <v>239</v>
      </c>
      <c r="B9" s="5" t="s">
        <v>145</v>
      </c>
      <c r="C9" s="5" t="s">
        <v>240</v>
      </c>
      <c r="D9" s="12" t="s">
        <v>14</v>
      </c>
      <c r="E9" s="5" t="s">
        <v>241</v>
      </c>
      <c r="F9" s="5" t="s">
        <v>14</v>
      </c>
    </row>
    <row r="10" spans="1:8" ht="15" customHeight="1">
      <c r="A10" s="5" t="s">
        <v>242</v>
      </c>
      <c r="B10" s="5" t="s">
        <v>148</v>
      </c>
      <c r="C10" s="5" t="s">
        <v>243</v>
      </c>
      <c r="D10" s="12" t="s">
        <v>143</v>
      </c>
      <c r="E10" s="5" t="s">
        <v>244</v>
      </c>
      <c r="F10" s="5" t="s">
        <v>235</v>
      </c>
    </row>
    <row r="11" spans="1:8" ht="30" customHeight="1">
      <c r="A11" s="5" t="s">
        <v>245</v>
      </c>
      <c r="B11" s="5" t="s">
        <v>148</v>
      </c>
      <c r="C11" s="5" t="s">
        <v>246</v>
      </c>
      <c r="D11" s="12" t="s">
        <v>143</v>
      </c>
      <c r="E11" s="5" t="s">
        <v>247</v>
      </c>
      <c r="F11" s="5" t="s">
        <v>14</v>
      </c>
    </row>
    <row r="12" spans="1:8" ht="15" customHeight="1">
      <c r="A12" s="5" t="s">
        <v>248</v>
      </c>
      <c r="B12" s="5" t="s">
        <v>131</v>
      </c>
      <c r="C12" s="5" t="s">
        <v>249</v>
      </c>
      <c r="D12" s="12" t="s">
        <v>363</v>
      </c>
      <c r="E12" s="5" t="s">
        <v>364</v>
      </c>
      <c r="F12" s="5" t="s">
        <v>14</v>
      </c>
    </row>
    <row r="13" spans="1:8" ht="15" customHeight="1">
      <c r="A13" s="5" t="s">
        <v>251</v>
      </c>
      <c r="B13" s="5" t="s">
        <v>145</v>
      </c>
      <c r="C13" s="5" t="s">
        <v>252</v>
      </c>
      <c r="D13" s="12" t="s">
        <v>14</v>
      </c>
      <c r="E13" s="5" t="s">
        <v>253</v>
      </c>
      <c r="F13" s="5" t="s">
        <v>14</v>
      </c>
    </row>
    <row r="14" spans="1:8" ht="15" customHeight="1">
      <c r="A14" s="5" t="s">
        <v>254</v>
      </c>
      <c r="B14" s="5" t="s">
        <v>209</v>
      </c>
      <c r="C14" s="5" t="s">
        <v>255</v>
      </c>
      <c r="D14" s="12" t="s">
        <v>14</v>
      </c>
      <c r="E14" s="5" t="s">
        <v>256</v>
      </c>
      <c r="F14" s="5" t="s">
        <v>14</v>
      </c>
    </row>
    <row r="15" spans="1:8" ht="15" customHeight="1">
      <c r="A15" s="5" t="s">
        <v>257</v>
      </c>
      <c r="B15" s="5" t="s">
        <v>258</v>
      </c>
      <c r="C15" s="5" t="s">
        <v>259</v>
      </c>
      <c r="D15" s="12" t="s">
        <v>14</v>
      </c>
      <c r="E15" s="5" t="s">
        <v>14</v>
      </c>
      <c r="F15" s="5" t="s">
        <v>235</v>
      </c>
    </row>
    <row r="16" spans="1:8" ht="15" customHeight="1">
      <c r="A16" s="5" t="s">
        <v>260</v>
      </c>
      <c r="B16" s="5" t="s">
        <v>176</v>
      </c>
      <c r="C16" s="5" t="s">
        <v>261</v>
      </c>
      <c r="D16" s="12" t="s">
        <v>14</v>
      </c>
      <c r="E16" s="5" t="s">
        <v>14</v>
      </c>
      <c r="F16" s="5" t="s">
        <v>14</v>
      </c>
    </row>
    <row r="17" spans="1:6" ht="15" customHeight="1">
      <c r="A17" s="5" t="s">
        <v>262</v>
      </c>
      <c r="B17" s="5" t="s">
        <v>170</v>
      </c>
      <c r="C17" s="5" t="s">
        <v>263</v>
      </c>
      <c r="D17" s="12" t="s">
        <v>14</v>
      </c>
      <c r="E17" s="5" t="s">
        <v>14</v>
      </c>
      <c r="F17" s="5" t="s">
        <v>14</v>
      </c>
    </row>
    <row r="18" spans="1:6" ht="15" customHeight="1">
      <c r="A18" s="5" t="s">
        <v>264</v>
      </c>
      <c r="B18" s="5" t="s">
        <v>176</v>
      </c>
      <c r="C18" s="5" t="s">
        <v>265</v>
      </c>
      <c r="D18" s="12" t="s">
        <v>14</v>
      </c>
      <c r="E18" s="5" t="s">
        <v>14</v>
      </c>
      <c r="F18" s="5" t="s">
        <v>14</v>
      </c>
    </row>
    <row r="19" spans="1:6" ht="15" customHeight="1">
      <c r="A19" s="5" t="s">
        <v>184</v>
      </c>
      <c r="B19" s="5" t="s">
        <v>176</v>
      </c>
      <c r="C19" s="5" t="s">
        <v>185</v>
      </c>
      <c r="D19" s="12" t="s">
        <v>143</v>
      </c>
      <c r="E19" s="5" t="s">
        <v>186</v>
      </c>
      <c r="F19" s="5" t="s">
        <v>14</v>
      </c>
    </row>
    <row r="20" spans="1:6" ht="15" customHeight="1">
      <c r="A20" s="5" t="s">
        <v>187</v>
      </c>
      <c r="B20" s="5" t="s">
        <v>176</v>
      </c>
      <c r="C20" s="5" t="s">
        <v>188</v>
      </c>
      <c r="D20" s="12" t="s">
        <v>143</v>
      </c>
      <c r="E20" s="5" t="s">
        <v>186</v>
      </c>
      <c r="F20" s="5" t="s">
        <v>14</v>
      </c>
    </row>
    <row r="22" spans="1:6">
      <c r="A22" s="9" t="s">
        <v>266</v>
      </c>
      <c r="B22" s="14" t="s">
        <v>267</v>
      </c>
      <c r="C22" s="14"/>
      <c r="D22" s="14"/>
      <c r="E22" s="14"/>
    </row>
    <row r="23" spans="1:6">
      <c r="A23" s="9" t="s">
        <v>266</v>
      </c>
      <c r="B23" s="14" t="s">
        <v>268</v>
      </c>
      <c r="C23" s="14"/>
      <c r="D23" s="14"/>
      <c r="E23" s="14"/>
    </row>
  </sheetData>
  <mergeCells count="2">
    <mergeCell ref="B22:E22"/>
    <mergeCell ref="B23:E23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8"/>
  <sheetViews>
    <sheetView workbookViewId="0">
      <pane ySplit="4" topLeftCell="A5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39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269</v>
      </c>
      <c r="B5" s="5" t="s">
        <v>131</v>
      </c>
      <c r="C5" s="5" t="s">
        <v>270</v>
      </c>
      <c r="D5" s="12" t="s">
        <v>365</v>
      </c>
      <c r="E5" s="5" t="s">
        <v>14</v>
      </c>
      <c r="F5" s="5" t="s">
        <v>134</v>
      </c>
    </row>
    <row r="6" spans="1:8" ht="15" customHeight="1">
      <c r="A6" s="5" t="s">
        <v>366</v>
      </c>
      <c r="B6" s="5" t="s">
        <v>148</v>
      </c>
      <c r="C6" s="5" t="s">
        <v>367</v>
      </c>
      <c r="D6" s="12" t="s">
        <v>368</v>
      </c>
      <c r="E6" s="5" t="s">
        <v>369</v>
      </c>
      <c r="F6" s="5" t="s">
        <v>134</v>
      </c>
    </row>
    <row r="8" spans="1:8">
      <c r="A8" s="9" t="s">
        <v>370</v>
      </c>
      <c r="B8" s="14" t="s">
        <v>371</v>
      </c>
      <c r="C8" s="14"/>
      <c r="D8" s="14"/>
      <c r="E8" s="14"/>
    </row>
  </sheetData>
  <mergeCells count="1">
    <mergeCell ref="B8:E8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0"/>
  <sheetViews>
    <sheetView workbookViewId="0">
      <pane ySplit="4" topLeftCell="A5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41</v>
      </c>
      <c r="H1" s="11" t="s">
        <v>123</v>
      </c>
    </row>
    <row r="2" spans="1:8">
      <c r="A2" s="9" t="s">
        <v>4</v>
      </c>
      <c r="B2" s="16" t="s">
        <v>302</v>
      </c>
    </row>
    <row r="3" spans="1:8">
      <c r="B3" s="19"/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30" customHeight="1">
      <c r="A5" s="5" t="s">
        <v>189</v>
      </c>
      <c r="B5" s="5" t="s">
        <v>131</v>
      </c>
      <c r="C5" s="5" t="s">
        <v>190</v>
      </c>
      <c r="D5" s="12" t="s">
        <v>372</v>
      </c>
      <c r="E5" s="5" t="s">
        <v>14</v>
      </c>
      <c r="F5" s="5" t="s">
        <v>134</v>
      </c>
    </row>
    <row r="6" spans="1:8" ht="15" customHeight="1">
      <c r="A6" s="5" t="s">
        <v>373</v>
      </c>
      <c r="B6" s="5" t="s">
        <v>213</v>
      </c>
      <c r="C6" s="5" t="s">
        <v>374</v>
      </c>
      <c r="D6" s="12" t="s">
        <v>368</v>
      </c>
      <c r="E6" s="5" t="s">
        <v>375</v>
      </c>
      <c r="F6" s="5" t="s">
        <v>134</v>
      </c>
    </row>
    <row r="7" spans="1:8" ht="15" customHeight="1">
      <c r="A7" s="5" t="s">
        <v>376</v>
      </c>
      <c r="B7" s="5" t="s">
        <v>148</v>
      </c>
      <c r="C7" s="5" t="s">
        <v>377</v>
      </c>
      <c r="D7" s="12" t="s">
        <v>143</v>
      </c>
      <c r="E7" s="5" t="s">
        <v>14</v>
      </c>
      <c r="F7" s="5" t="s">
        <v>14</v>
      </c>
    </row>
    <row r="8" spans="1:8" ht="15" customHeight="1">
      <c r="A8" s="5" t="s">
        <v>378</v>
      </c>
      <c r="B8" s="5" t="s">
        <v>209</v>
      </c>
      <c r="C8" s="5" t="s">
        <v>379</v>
      </c>
      <c r="D8" s="12" t="s">
        <v>143</v>
      </c>
      <c r="E8" s="5" t="s">
        <v>355</v>
      </c>
      <c r="F8" s="5" t="s">
        <v>14</v>
      </c>
    </row>
    <row r="10" spans="1:8">
      <c r="A10" s="9" t="s">
        <v>370</v>
      </c>
      <c r="B10" s="14" t="s">
        <v>380</v>
      </c>
      <c r="C10" s="14"/>
      <c r="D10" s="14"/>
      <c r="E10" s="14"/>
    </row>
  </sheetData>
  <mergeCells count="1">
    <mergeCell ref="B10:E10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1"/>
  <sheetViews>
    <sheetView workbookViewId="0">
      <pane ySplit="4" topLeftCell="A5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43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30" customHeight="1">
      <c r="A5" s="5" t="s">
        <v>189</v>
      </c>
      <c r="B5" s="5" t="s">
        <v>131</v>
      </c>
      <c r="C5" s="5" t="s">
        <v>190</v>
      </c>
      <c r="D5" s="12" t="s">
        <v>372</v>
      </c>
      <c r="E5" s="5" t="s">
        <v>381</v>
      </c>
      <c r="F5" s="5" t="s">
        <v>134</v>
      </c>
    </row>
    <row r="6" spans="1:8" ht="15" customHeight="1">
      <c r="A6" s="5" t="s">
        <v>382</v>
      </c>
      <c r="B6" s="5" t="s">
        <v>383</v>
      </c>
      <c r="C6" s="5" t="s">
        <v>384</v>
      </c>
      <c r="D6" s="12" t="s">
        <v>368</v>
      </c>
      <c r="E6" s="5" t="s">
        <v>14</v>
      </c>
      <c r="F6" s="5" t="s">
        <v>134</v>
      </c>
    </row>
    <row r="7" spans="1:8" ht="15" customHeight="1">
      <c r="A7" s="5" t="s">
        <v>385</v>
      </c>
      <c r="B7" s="5" t="s">
        <v>145</v>
      </c>
      <c r="C7" s="5" t="s">
        <v>386</v>
      </c>
      <c r="D7" s="12" t="s">
        <v>143</v>
      </c>
      <c r="E7" s="5" t="s">
        <v>14</v>
      </c>
      <c r="F7" s="5" t="s">
        <v>14</v>
      </c>
    </row>
    <row r="8" spans="1:8" ht="15" customHeight="1">
      <c r="A8" s="5" t="s">
        <v>178</v>
      </c>
      <c r="B8" s="5" t="s">
        <v>163</v>
      </c>
      <c r="C8" s="5" t="s">
        <v>179</v>
      </c>
      <c r="D8" s="12" t="s">
        <v>143</v>
      </c>
      <c r="E8" s="5" t="s">
        <v>165</v>
      </c>
      <c r="F8" s="5" t="s">
        <v>14</v>
      </c>
    </row>
    <row r="9" spans="1:8" ht="15" customHeight="1">
      <c r="A9" s="5" t="s">
        <v>387</v>
      </c>
      <c r="B9" s="5" t="s">
        <v>176</v>
      </c>
      <c r="C9" s="5" t="s">
        <v>388</v>
      </c>
      <c r="D9" s="12" t="s">
        <v>143</v>
      </c>
      <c r="E9" s="5" t="s">
        <v>186</v>
      </c>
      <c r="F9" s="5" t="s">
        <v>14</v>
      </c>
    </row>
    <row r="11" spans="1:8">
      <c r="A11" s="9" t="s">
        <v>370</v>
      </c>
      <c r="B11" s="14" t="s">
        <v>389</v>
      </c>
      <c r="C11" s="14"/>
      <c r="D11" s="14"/>
      <c r="E11" s="14"/>
    </row>
  </sheetData>
  <mergeCells count="1">
    <mergeCell ref="B11:E11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6"/>
  <sheetViews>
    <sheetView workbookViewId="0">
      <pane ySplit="4" topLeftCell="A5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46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30" customHeight="1">
      <c r="A5" s="5" t="s">
        <v>189</v>
      </c>
      <c r="B5" s="5" t="s">
        <v>131</v>
      </c>
      <c r="C5" s="5" t="s">
        <v>190</v>
      </c>
      <c r="D5" s="12" t="s">
        <v>372</v>
      </c>
      <c r="E5" s="5" t="s">
        <v>390</v>
      </c>
      <c r="F5" s="5" t="s">
        <v>134</v>
      </c>
    </row>
    <row r="6" spans="1:8" ht="15" customHeight="1">
      <c r="A6" s="5" t="s">
        <v>391</v>
      </c>
      <c r="B6" s="5" t="s">
        <v>173</v>
      </c>
      <c r="C6" s="5" t="s">
        <v>392</v>
      </c>
      <c r="D6" s="12" t="s">
        <v>368</v>
      </c>
      <c r="E6" s="5" t="s">
        <v>14</v>
      </c>
      <c r="F6" s="5" t="s">
        <v>134</v>
      </c>
    </row>
    <row r="7" spans="1:8" ht="15" customHeight="1">
      <c r="A7" s="5" t="s">
        <v>393</v>
      </c>
      <c r="B7" s="5" t="s">
        <v>141</v>
      </c>
      <c r="C7" s="5" t="s">
        <v>394</v>
      </c>
      <c r="D7" s="12" t="s">
        <v>143</v>
      </c>
      <c r="E7" s="5" t="s">
        <v>14</v>
      </c>
      <c r="F7" s="5" t="s">
        <v>235</v>
      </c>
    </row>
    <row r="8" spans="1:8" ht="15" customHeight="1">
      <c r="A8" s="5" t="s">
        <v>395</v>
      </c>
      <c r="B8" s="5" t="s">
        <v>209</v>
      </c>
      <c r="C8" s="5" t="s">
        <v>396</v>
      </c>
      <c r="D8" s="12" t="s">
        <v>14</v>
      </c>
      <c r="E8" s="5" t="s">
        <v>14</v>
      </c>
      <c r="F8" s="5" t="s">
        <v>14</v>
      </c>
    </row>
    <row r="9" spans="1:8" ht="15" customHeight="1">
      <c r="A9" s="5" t="s">
        <v>397</v>
      </c>
      <c r="B9" s="5" t="s">
        <v>145</v>
      </c>
      <c r="C9" s="5" t="s">
        <v>398</v>
      </c>
      <c r="D9" s="12" t="s">
        <v>14</v>
      </c>
      <c r="E9" s="5" t="s">
        <v>14</v>
      </c>
      <c r="F9" s="5" t="s">
        <v>14</v>
      </c>
    </row>
    <row r="10" spans="1:8" ht="15" customHeight="1">
      <c r="A10" s="5" t="s">
        <v>399</v>
      </c>
      <c r="B10" s="5" t="s">
        <v>148</v>
      </c>
      <c r="C10" s="5" t="s">
        <v>400</v>
      </c>
      <c r="D10" s="12" t="s">
        <v>14</v>
      </c>
      <c r="E10" s="5" t="s">
        <v>14</v>
      </c>
      <c r="F10" s="5" t="s">
        <v>14</v>
      </c>
    </row>
    <row r="11" spans="1:8" ht="15" customHeight="1">
      <c r="A11" s="5" t="s">
        <v>401</v>
      </c>
      <c r="B11" s="5" t="s">
        <v>148</v>
      </c>
      <c r="C11" s="5" t="s">
        <v>402</v>
      </c>
      <c r="D11" s="12" t="s">
        <v>14</v>
      </c>
      <c r="E11" s="5" t="s">
        <v>14</v>
      </c>
      <c r="F11" s="5" t="s">
        <v>14</v>
      </c>
    </row>
    <row r="12" spans="1:8" ht="30" customHeight="1">
      <c r="A12" s="5" t="s">
        <v>403</v>
      </c>
      <c r="B12" s="5" t="s">
        <v>404</v>
      </c>
      <c r="C12" s="5" t="s">
        <v>405</v>
      </c>
      <c r="D12" s="12" t="s">
        <v>14</v>
      </c>
      <c r="E12" s="5" t="s">
        <v>406</v>
      </c>
      <c r="F12" s="5" t="s">
        <v>14</v>
      </c>
    </row>
    <row r="13" spans="1:8" ht="15" customHeight="1">
      <c r="A13" s="5" t="s">
        <v>178</v>
      </c>
      <c r="B13" s="5" t="s">
        <v>163</v>
      </c>
      <c r="C13" s="5" t="s">
        <v>179</v>
      </c>
      <c r="D13" s="12" t="s">
        <v>143</v>
      </c>
      <c r="E13" s="5" t="s">
        <v>165</v>
      </c>
      <c r="F13" s="5" t="s">
        <v>14</v>
      </c>
    </row>
    <row r="14" spans="1:8" ht="15" customHeight="1">
      <c r="A14" s="5" t="s">
        <v>387</v>
      </c>
      <c r="B14" s="5" t="s">
        <v>176</v>
      </c>
      <c r="C14" s="5" t="s">
        <v>388</v>
      </c>
      <c r="D14" s="12" t="s">
        <v>143</v>
      </c>
      <c r="E14" s="5" t="s">
        <v>186</v>
      </c>
      <c r="F14" s="5" t="s">
        <v>14</v>
      </c>
    </row>
    <row r="16" spans="1:8">
      <c r="A16" s="9" t="s">
        <v>370</v>
      </c>
      <c r="B16" s="14" t="s">
        <v>407</v>
      </c>
      <c r="C16" s="14"/>
      <c r="D16" s="14"/>
      <c r="E16" s="14"/>
    </row>
  </sheetData>
  <mergeCells count="1">
    <mergeCell ref="B16:E16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3"/>
  <sheetViews>
    <sheetView workbookViewId="0">
      <pane ySplit="4" topLeftCell="A5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48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30" customHeight="1">
      <c r="A5" s="5" t="s">
        <v>189</v>
      </c>
      <c r="B5" s="5" t="s">
        <v>131</v>
      </c>
      <c r="C5" s="5" t="s">
        <v>190</v>
      </c>
      <c r="D5" s="12" t="s">
        <v>408</v>
      </c>
      <c r="E5" s="5" t="s">
        <v>409</v>
      </c>
      <c r="F5" s="5" t="s">
        <v>134</v>
      </c>
    </row>
    <row r="6" spans="1:8" ht="30" customHeight="1">
      <c r="A6" s="5" t="s">
        <v>391</v>
      </c>
      <c r="B6" s="5" t="s">
        <v>173</v>
      </c>
      <c r="C6" s="5" t="s">
        <v>392</v>
      </c>
      <c r="D6" s="12" t="s">
        <v>408</v>
      </c>
      <c r="E6" s="5" t="s">
        <v>14</v>
      </c>
      <c r="F6" s="5" t="s">
        <v>134</v>
      </c>
    </row>
    <row r="7" spans="1:8" ht="15" customHeight="1">
      <c r="A7" s="5" t="s">
        <v>382</v>
      </c>
      <c r="B7" s="5" t="s">
        <v>383</v>
      </c>
      <c r="C7" s="5" t="s">
        <v>384</v>
      </c>
      <c r="D7" s="12" t="s">
        <v>368</v>
      </c>
      <c r="E7" s="5" t="s">
        <v>14</v>
      </c>
      <c r="F7" s="5" t="s">
        <v>134</v>
      </c>
    </row>
    <row r="8" spans="1:8" ht="15" customHeight="1">
      <c r="A8" s="5" t="s">
        <v>410</v>
      </c>
      <c r="B8" s="5" t="s">
        <v>404</v>
      </c>
      <c r="C8" s="5" t="s">
        <v>411</v>
      </c>
      <c r="D8" s="12" t="s">
        <v>143</v>
      </c>
      <c r="E8" s="5" t="s">
        <v>412</v>
      </c>
      <c r="F8" s="5" t="s">
        <v>14</v>
      </c>
    </row>
    <row r="9" spans="1:8" ht="15" customHeight="1">
      <c r="A9" s="5" t="s">
        <v>413</v>
      </c>
      <c r="B9" s="5" t="s">
        <v>404</v>
      </c>
      <c r="C9" s="5" t="s">
        <v>414</v>
      </c>
      <c r="D9" s="12" t="s">
        <v>143</v>
      </c>
      <c r="E9" s="5" t="s">
        <v>412</v>
      </c>
      <c r="F9" s="5" t="s">
        <v>14</v>
      </c>
    </row>
    <row r="10" spans="1:8" ht="15" customHeight="1">
      <c r="A10" s="5" t="s">
        <v>415</v>
      </c>
      <c r="B10" s="5" t="s">
        <v>404</v>
      </c>
      <c r="C10" s="5" t="s">
        <v>416</v>
      </c>
      <c r="D10" s="12" t="s">
        <v>143</v>
      </c>
      <c r="E10" s="5" t="s">
        <v>412</v>
      </c>
      <c r="F10" s="5" t="s">
        <v>14</v>
      </c>
    </row>
    <row r="11" spans="1:8" ht="15" customHeight="1">
      <c r="A11" s="5" t="s">
        <v>387</v>
      </c>
      <c r="B11" s="5" t="s">
        <v>176</v>
      </c>
      <c r="C11" s="5" t="s">
        <v>388</v>
      </c>
      <c r="D11" s="12" t="s">
        <v>143</v>
      </c>
      <c r="E11" s="5" t="s">
        <v>186</v>
      </c>
      <c r="F11" s="5" t="s">
        <v>14</v>
      </c>
    </row>
    <row r="13" spans="1:8">
      <c r="A13" s="9" t="s">
        <v>370</v>
      </c>
      <c r="B13" s="14" t="s">
        <v>417</v>
      </c>
      <c r="C13" s="14"/>
      <c r="D13" s="14"/>
      <c r="E13" s="14"/>
    </row>
  </sheetData>
  <mergeCells count="1">
    <mergeCell ref="B13:E13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0"/>
  <sheetViews>
    <sheetView workbookViewId="0">
      <pane ySplit="4" topLeftCell="A5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50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30" customHeight="1">
      <c r="A5" s="5" t="s">
        <v>189</v>
      </c>
      <c r="B5" s="5" t="s">
        <v>131</v>
      </c>
      <c r="C5" s="5" t="s">
        <v>190</v>
      </c>
      <c r="D5" s="12" t="s">
        <v>372</v>
      </c>
      <c r="E5" s="5" t="s">
        <v>418</v>
      </c>
      <c r="F5" s="5" t="s">
        <v>134</v>
      </c>
    </row>
    <row r="6" spans="1:8" ht="15" customHeight="1">
      <c r="A6" s="5" t="s">
        <v>419</v>
      </c>
      <c r="B6" s="5" t="s">
        <v>209</v>
      </c>
      <c r="C6" s="5" t="s">
        <v>420</v>
      </c>
      <c r="D6" s="12" t="s">
        <v>368</v>
      </c>
      <c r="E6" s="5" t="s">
        <v>14</v>
      </c>
      <c r="F6" s="5" t="s">
        <v>134</v>
      </c>
    </row>
    <row r="7" spans="1:8" ht="15" customHeight="1">
      <c r="A7" s="5" t="s">
        <v>421</v>
      </c>
      <c r="B7" s="5" t="s">
        <v>145</v>
      </c>
      <c r="C7" s="5" t="s">
        <v>422</v>
      </c>
      <c r="D7" s="12" t="s">
        <v>143</v>
      </c>
      <c r="E7" s="5" t="s">
        <v>14</v>
      </c>
      <c r="F7" s="5" t="s">
        <v>14</v>
      </c>
    </row>
    <row r="8" spans="1:8" ht="15" customHeight="1">
      <c r="A8" s="5" t="s">
        <v>387</v>
      </c>
      <c r="B8" s="5" t="s">
        <v>176</v>
      </c>
      <c r="C8" s="5" t="s">
        <v>388</v>
      </c>
      <c r="D8" s="12" t="s">
        <v>143</v>
      </c>
      <c r="E8" s="5" t="s">
        <v>186</v>
      </c>
      <c r="F8" s="5" t="s">
        <v>14</v>
      </c>
    </row>
    <row r="10" spans="1:8">
      <c r="A10" s="9" t="s">
        <v>370</v>
      </c>
      <c r="B10" s="14" t="s">
        <v>423</v>
      </c>
      <c r="C10" s="14"/>
      <c r="D10" s="14"/>
      <c r="E10" s="14"/>
    </row>
  </sheetData>
  <mergeCells count="1">
    <mergeCell ref="B10:E10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4"/>
  <sheetViews>
    <sheetView workbookViewId="0">
      <pane ySplit="4" topLeftCell="A5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52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30" customHeight="1">
      <c r="A5" s="5" t="s">
        <v>189</v>
      </c>
      <c r="B5" s="5" t="s">
        <v>131</v>
      </c>
      <c r="C5" s="5" t="s">
        <v>190</v>
      </c>
      <c r="D5" s="12" t="s">
        <v>372</v>
      </c>
      <c r="E5" s="5" t="s">
        <v>424</v>
      </c>
      <c r="F5" s="5" t="s">
        <v>134</v>
      </c>
    </row>
    <row r="6" spans="1:8" ht="15" customHeight="1">
      <c r="A6" s="5" t="s">
        <v>425</v>
      </c>
      <c r="B6" s="5" t="s">
        <v>315</v>
      </c>
      <c r="C6" s="5" t="s">
        <v>426</v>
      </c>
      <c r="D6" s="12" t="s">
        <v>368</v>
      </c>
      <c r="E6" s="5" t="s">
        <v>14</v>
      </c>
      <c r="F6" s="5" t="s">
        <v>134</v>
      </c>
    </row>
    <row r="7" spans="1:8" ht="15" customHeight="1">
      <c r="A7" s="5" t="s">
        <v>427</v>
      </c>
      <c r="B7" s="5" t="s">
        <v>141</v>
      </c>
      <c r="C7" s="5" t="s">
        <v>428</v>
      </c>
      <c r="D7" s="12" t="s">
        <v>143</v>
      </c>
      <c r="E7" s="5" t="s">
        <v>14</v>
      </c>
      <c r="F7" s="5" t="s">
        <v>14</v>
      </c>
    </row>
    <row r="8" spans="1:8" ht="15" customHeight="1">
      <c r="A8" s="5" t="s">
        <v>419</v>
      </c>
      <c r="B8" s="5" t="s">
        <v>209</v>
      </c>
      <c r="C8" s="5" t="s">
        <v>420</v>
      </c>
      <c r="D8" s="12" t="s">
        <v>14</v>
      </c>
      <c r="E8" s="5" t="s">
        <v>14</v>
      </c>
      <c r="F8" s="5" t="s">
        <v>14</v>
      </c>
    </row>
    <row r="9" spans="1:8" ht="15" customHeight="1">
      <c r="A9" s="5" t="s">
        <v>178</v>
      </c>
      <c r="B9" s="5" t="s">
        <v>163</v>
      </c>
      <c r="C9" s="5" t="s">
        <v>179</v>
      </c>
      <c r="D9" s="12" t="s">
        <v>143</v>
      </c>
      <c r="E9" s="5" t="s">
        <v>429</v>
      </c>
      <c r="F9" s="5" t="s">
        <v>14</v>
      </c>
    </row>
    <row r="10" spans="1:8" ht="15" customHeight="1">
      <c r="A10" s="5" t="s">
        <v>430</v>
      </c>
      <c r="B10" s="5" t="s">
        <v>431</v>
      </c>
      <c r="C10" s="5" t="s">
        <v>432</v>
      </c>
      <c r="D10" s="12" t="s">
        <v>14</v>
      </c>
      <c r="E10" s="5" t="s">
        <v>14</v>
      </c>
      <c r="F10" s="5" t="s">
        <v>14</v>
      </c>
    </row>
    <row r="11" spans="1:8" ht="15" customHeight="1">
      <c r="A11" s="5" t="s">
        <v>237</v>
      </c>
      <c r="B11" s="5" t="s">
        <v>141</v>
      </c>
      <c r="C11" s="5" t="s">
        <v>238</v>
      </c>
      <c r="D11" s="12" t="s">
        <v>14</v>
      </c>
      <c r="E11" s="5" t="s">
        <v>14</v>
      </c>
      <c r="F11" s="5" t="s">
        <v>14</v>
      </c>
    </row>
    <row r="12" spans="1:8" ht="15" customHeight="1">
      <c r="A12" s="5" t="s">
        <v>387</v>
      </c>
      <c r="B12" s="5" t="s">
        <v>176</v>
      </c>
      <c r="C12" s="5" t="s">
        <v>388</v>
      </c>
      <c r="D12" s="12" t="s">
        <v>143</v>
      </c>
      <c r="E12" s="5" t="s">
        <v>186</v>
      </c>
      <c r="F12" s="5" t="s">
        <v>14</v>
      </c>
    </row>
    <row r="14" spans="1:8">
      <c r="A14" s="9" t="s">
        <v>370</v>
      </c>
      <c r="B14" s="14" t="s">
        <v>433</v>
      </c>
      <c r="C14" s="14"/>
      <c r="D14" s="14"/>
      <c r="E14" s="14"/>
    </row>
  </sheetData>
  <mergeCells count="1">
    <mergeCell ref="B14:E14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2"/>
  <sheetViews>
    <sheetView workbookViewId="0">
      <pane ySplit="4" topLeftCell="A5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54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30" customHeight="1">
      <c r="A5" s="5" t="s">
        <v>189</v>
      </c>
      <c r="B5" s="5" t="s">
        <v>131</v>
      </c>
      <c r="C5" s="5" t="s">
        <v>190</v>
      </c>
      <c r="D5" s="12" t="s">
        <v>372</v>
      </c>
      <c r="E5" s="5" t="s">
        <v>434</v>
      </c>
      <c r="F5" s="5" t="s">
        <v>134</v>
      </c>
    </row>
    <row r="6" spans="1:8" ht="15" customHeight="1">
      <c r="A6" s="5" t="s">
        <v>435</v>
      </c>
      <c r="B6" s="5" t="s">
        <v>209</v>
      </c>
      <c r="C6" s="5" t="s">
        <v>436</v>
      </c>
      <c r="D6" s="12" t="s">
        <v>368</v>
      </c>
      <c r="E6" s="5" t="s">
        <v>14</v>
      </c>
      <c r="F6" s="5" t="s">
        <v>134</v>
      </c>
    </row>
    <row r="7" spans="1:8" ht="15" customHeight="1">
      <c r="A7" s="5" t="s">
        <v>437</v>
      </c>
      <c r="B7" s="5" t="s">
        <v>236</v>
      </c>
      <c r="C7" s="5" t="s">
        <v>438</v>
      </c>
      <c r="D7" s="12" t="s">
        <v>143</v>
      </c>
      <c r="E7" s="5" t="s">
        <v>14</v>
      </c>
      <c r="F7" s="5" t="s">
        <v>14</v>
      </c>
    </row>
    <row r="8" spans="1:8" ht="15" customHeight="1">
      <c r="A8" s="5" t="s">
        <v>251</v>
      </c>
      <c r="B8" s="5" t="s">
        <v>145</v>
      </c>
      <c r="C8" s="5" t="s">
        <v>252</v>
      </c>
      <c r="D8" s="12" t="s">
        <v>14</v>
      </c>
      <c r="E8" s="5" t="s">
        <v>14</v>
      </c>
      <c r="F8" s="5" t="s">
        <v>14</v>
      </c>
    </row>
    <row r="9" spans="1:8" ht="15" customHeight="1">
      <c r="A9" s="5" t="s">
        <v>237</v>
      </c>
      <c r="B9" s="5" t="s">
        <v>141</v>
      </c>
      <c r="C9" s="5" t="s">
        <v>238</v>
      </c>
      <c r="D9" s="12" t="s">
        <v>14</v>
      </c>
      <c r="E9" s="5" t="s">
        <v>14</v>
      </c>
      <c r="F9" s="5" t="s">
        <v>14</v>
      </c>
    </row>
    <row r="10" spans="1:8" ht="15" customHeight="1">
      <c r="A10" s="5" t="s">
        <v>387</v>
      </c>
      <c r="B10" s="5" t="s">
        <v>176</v>
      </c>
      <c r="C10" s="5" t="s">
        <v>388</v>
      </c>
      <c r="D10" s="12" t="s">
        <v>143</v>
      </c>
      <c r="E10" s="5" t="s">
        <v>186</v>
      </c>
      <c r="F10" s="5" t="s">
        <v>14</v>
      </c>
    </row>
    <row r="12" spans="1:8">
      <c r="A12" s="9" t="s">
        <v>370</v>
      </c>
      <c r="B12" s="14" t="s">
        <v>439</v>
      </c>
      <c r="C12" s="14"/>
      <c r="D12" s="14"/>
      <c r="E12" s="14"/>
    </row>
  </sheetData>
  <mergeCells count="1">
    <mergeCell ref="B12:E12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1"/>
  <sheetViews>
    <sheetView workbookViewId="0">
      <pane ySplit="4" topLeftCell="A5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56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30" customHeight="1">
      <c r="A5" s="5" t="s">
        <v>189</v>
      </c>
      <c r="B5" s="5" t="s">
        <v>131</v>
      </c>
      <c r="C5" s="5" t="s">
        <v>190</v>
      </c>
      <c r="D5" s="12" t="s">
        <v>372</v>
      </c>
      <c r="E5" s="5" t="s">
        <v>440</v>
      </c>
      <c r="F5" s="5" t="s">
        <v>134</v>
      </c>
    </row>
    <row r="6" spans="1:8" ht="15" customHeight="1">
      <c r="A6" s="5" t="s">
        <v>441</v>
      </c>
      <c r="B6" s="5" t="s">
        <v>148</v>
      </c>
      <c r="C6" s="5" t="s">
        <v>442</v>
      </c>
      <c r="D6" s="12" t="s">
        <v>368</v>
      </c>
      <c r="E6" s="5" t="s">
        <v>14</v>
      </c>
      <c r="F6" s="5" t="s">
        <v>134</v>
      </c>
    </row>
    <row r="7" spans="1:8" ht="15" customHeight="1">
      <c r="A7" s="5" t="s">
        <v>443</v>
      </c>
      <c r="B7" s="5" t="s">
        <v>145</v>
      </c>
      <c r="C7" s="5" t="s">
        <v>444</v>
      </c>
      <c r="D7" s="12" t="s">
        <v>14</v>
      </c>
      <c r="E7" s="5" t="s">
        <v>14</v>
      </c>
      <c r="F7" s="5" t="s">
        <v>14</v>
      </c>
    </row>
    <row r="8" spans="1:8" ht="15" customHeight="1">
      <c r="A8" s="5" t="s">
        <v>445</v>
      </c>
      <c r="B8" s="5" t="s">
        <v>446</v>
      </c>
      <c r="C8" s="5" t="s">
        <v>447</v>
      </c>
      <c r="D8" s="12" t="s">
        <v>14</v>
      </c>
      <c r="E8" s="5" t="s">
        <v>14</v>
      </c>
      <c r="F8" s="5" t="s">
        <v>14</v>
      </c>
    </row>
    <row r="9" spans="1:8" ht="15" customHeight="1">
      <c r="A9" s="5" t="s">
        <v>387</v>
      </c>
      <c r="B9" s="5" t="s">
        <v>176</v>
      </c>
      <c r="C9" s="5" t="s">
        <v>388</v>
      </c>
      <c r="D9" s="12" t="s">
        <v>143</v>
      </c>
      <c r="E9" s="5" t="s">
        <v>186</v>
      </c>
      <c r="F9" s="5" t="s">
        <v>14</v>
      </c>
    </row>
    <row r="11" spans="1:8">
      <c r="A11" s="9" t="s">
        <v>370</v>
      </c>
      <c r="B11" s="14" t="s">
        <v>448</v>
      </c>
      <c r="C11" s="14"/>
      <c r="D11" s="14"/>
      <c r="E11" s="14"/>
    </row>
  </sheetData>
  <mergeCells count="1">
    <mergeCell ref="B11:E11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5"/>
  <sheetViews>
    <sheetView workbookViewId="0">
      <pane ySplit="4" topLeftCell="A5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58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189</v>
      </c>
      <c r="B6" s="5" t="s">
        <v>131</v>
      </c>
      <c r="C6" s="5" t="s">
        <v>190</v>
      </c>
      <c r="D6" s="12" t="s">
        <v>303</v>
      </c>
      <c r="E6" s="5" t="s">
        <v>14</v>
      </c>
      <c r="F6" s="5" t="s">
        <v>14</v>
      </c>
    </row>
    <row r="7" spans="1:8" ht="15" customHeight="1">
      <c r="A7" s="5" t="s">
        <v>248</v>
      </c>
      <c r="B7" s="5" t="s">
        <v>131</v>
      </c>
      <c r="C7" s="5" t="s">
        <v>249</v>
      </c>
      <c r="D7" s="12" t="s">
        <v>449</v>
      </c>
      <c r="E7" s="5" t="s">
        <v>14</v>
      </c>
      <c r="F7" s="5" t="s">
        <v>235</v>
      </c>
    </row>
    <row r="8" spans="1:8" ht="30" customHeight="1">
      <c r="A8" s="5" t="s">
        <v>373</v>
      </c>
      <c r="B8" s="5" t="s">
        <v>148</v>
      </c>
      <c r="C8" s="5" t="s">
        <v>374</v>
      </c>
      <c r="D8" s="12" t="s">
        <v>143</v>
      </c>
      <c r="E8" s="5" t="s">
        <v>450</v>
      </c>
      <c r="F8" s="5" t="s">
        <v>235</v>
      </c>
    </row>
    <row r="9" spans="1:8" ht="15" customHeight="1">
      <c r="A9" s="5" t="s">
        <v>451</v>
      </c>
      <c r="B9" s="5" t="s">
        <v>452</v>
      </c>
      <c r="C9" s="5" t="s">
        <v>453</v>
      </c>
      <c r="D9" s="12" t="s">
        <v>143</v>
      </c>
      <c r="E9" s="5" t="s">
        <v>14</v>
      </c>
      <c r="F9" s="5" t="s">
        <v>14</v>
      </c>
    </row>
    <row r="10" spans="1:8" ht="15" customHeight="1">
      <c r="A10" s="5" t="s">
        <v>454</v>
      </c>
      <c r="B10" s="5" t="s">
        <v>145</v>
      </c>
      <c r="C10" s="5" t="s">
        <v>455</v>
      </c>
      <c r="D10" s="12" t="s">
        <v>14</v>
      </c>
      <c r="E10" s="5" t="s">
        <v>14</v>
      </c>
      <c r="F10" s="5" t="s">
        <v>14</v>
      </c>
    </row>
    <row r="11" spans="1:8" ht="15" customHeight="1">
      <c r="A11" s="5" t="s">
        <v>456</v>
      </c>
      <c r="B11" s="5" t="s">
        <v>457</v>
      </c>
      <c r="C11" s="5" t="s">
        <v>458</v>
      </c>
      <c r="D11" s="12" t="s">
        <v>143</v>
      </c>
      <c r="E11" s="5" t="s">
        <v>14</v>
      </c>
      <c r="F11" s="5" t="s">
        <v>14</v>
      </c>
    </row>
    <row r="12" spans="1:8" ht="15" customHeight="1">
      <c r="A12" s="5" t="s">
        <v>459</v>
      </c>
      <c r="B12" s="5" t="s">
        <v>460</v>
      </c>
      <c r="C12" s="5" t="s">
        <v>461</v>
      </c>
      <c r="D12" s="12" t="s">
        <v>143</v>
      </c>
      <c r="E12" s="5" t="s">
        <v>462</v>
      </c>
      <c r="F12" s="5" t="s">
        <v>14</v>
      </c>
    </row>
    <row r="13" spans="1:8" ht="15" customHeight="1">
      <c r="A13" s="5" t="s">
        <v>463</v>
      </c>
      <c r="B13" s="5" t="s">
        <v>181</v>
      </c>
      <c r="C13" s="5" t="s">
        <v>464</v>
      </c>
      <c r="D13" s="12" t="s">
        <v>14</v>
      </c>
      <c r="E13" s="5" t="s">
        <v>14</v>
      </c>
      <c r="F13" s="5" t="s">
        <v>14</v>
      </c>
    </row>
    <row r="14" spans="1:8" ht="15" customHeight="1">
      <c r="A14" s="5" t="s">
        <v>465</v>
      </c>
      <c r="B14" s="5" t="s">
        <v>131</v>
      </c>
      <c r="C14" s="5" t="s">
        <v>466</v>
      </c>
      <c r="D14" s="12" t="s">
        <v>467</v>
      </c>
      <c r="E14" s="5" t="s">
        <v>14</v>
      </c>
      <c r="F14" s="5" t="s">
        <v>14</v>
      </c>
    </row>
    <row r="15" spans="1:8" ht="15" customHeight="1">
      <c r="A15" s="5" t="s">
        <v>468</v>
      </c>
      <c r="B15" s="5" t="s">
        <v>176</v>
      </c>
      <c r="C15" s="5" t="s">
        <v>469</v>
      </c>
      <c r="D15" s="12" t="s">
        <v>143</v>
      </c>
      <c r="E15" s="5" t="s">
        <v>186</v>
      </c>
      <c r="F15" s="5" t="s">
        <v>14</v>
      </c>
    </row>
  </sheetData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7"/>
  <sheetViews>
    <sheetView workbookViewId="0">
      <pane ySplit="4" topLeftCell="A17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61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189</v>
      </c>
      <c r="B6" s="5" t="s">
        <v>131</v>
      </c>
      <c r="C6" s="5" t="s">
        <v>190</v>
      </c>
      <c r="D6" s="12" t="s">
        <v>303</v>
      </c>
      <c r="E6" s="5" t="s">
        <v>14</v>
      </c>
      <c r="F6" s="5" t="s">
        <v>235</v>
      </c>
    </row>
    <row r="7" spans="1:8" ht="15" customHeight="1">
      <c r="A7" s="5" t="s">
        <v>470</v>
      </c>
      <c r="B7" s="5" t="s">
        <v>148</v>
      </c>
      <c r="C7" s="5" t="s">
        <v>471</v>
      </c>
      <c r="D7" s="12" t="s">
        <v>143</v>
      </c>
      <c r="E7" s="5" t="s">
        <v>472</v>
      </c>
      <c r="F7" s="5" t="s">
        <v>134</v>
      </c>
    </row>
    <row r="8" spans="1:8" ht="15" customHeight="1">
      <c r="A8" s="5" t="s">
        <v>473</v>
      </c>
      <c r="B8" s="5" t="s">
        <v>131</v>
      </c>
      <c r="C8" s="5" t="s">
        <v>474</v>
      </c>
      <c r="D8" s="12" t="s">
        <v>143</v>
      </c>
      <c r="E8" s="5" t="s">
        <v>14</v>
      </c>
      <c r="F8" s="5" t="s">
        <v>134</v>
      </c>
    </row>
    <row r="9" spans="1:8" ht="15" customHeight="1">
      <c r="A9" s="5" t="s">
        <v>366</v>
      </c>
      <c r="B9" s="5" t="s">
        <v>148</v>
      </c>
      <c r="C9" s="5" t="s">
        <v>367</v>
      </c>
      <c r="D9" s="12" t="s">
        <v>143</v>
      </c>
      <c r="E9" s="5" t="s">
        <v>475</v>
      </c>
      <c r="F9" s="5" t="s">
        <v>134</v>
      </c>
    </row>
    <row r="10" spans="1:8" ht="15" customHeight="1">
      <c r="A10" s="5" t="s">
        <v>476</v>
      </c>
      <c r="B10" s="5" t="s">
        <v>353</v>
      </c>
      <c r="C10" s="5" t="s">
        <v>477</v>
      </c>
      <c r="D10" s="12" t="s">
        <v>143</v>
      </c>
      <c r="E10" s="5" t="s">
        <v>14</v>
      </c>
      <c r="F10" s="5" t="s">
        <v>14</v>
      </c>
    </row>
    <row r="11" spans="1:8" ht="30" customHeight="1">
      <c r="A11" s="5" t="s">
        <v>245</v>
      </c>
      <c r="B11" s="5" t="s">
        <v>315</v>
      </c>
      <c r="C11" s="5" t="s">
        <v>246</v>
      </c>
      <c r="D11" s="12" t="s">
        <v>143</v>
      </c>
      <c r="E11" s="5" t="s">
        <v>478</v>
      </c>
      <c r="F11" s="5" t="s">
        <v>235</v>
      </c>
    </row>
    <row r="12" spans="1:8" ht="15" customHeight="1">
      <c r="A12" s="5" t="s">
        <v>479</v>
      </c>
      <c r="B12" s="5" t="s">
        <v>353</v>
      </c>
      <c r="C12" s="5" t="s">
        <v>480</v>
      </c>
      <c r="D12" s="12" t="s">
        <v>143</v>
      </c>
      <c r="E12" s="5" t="s">
        <v>481</v>
      </c>
      <c r="F12" s="5" t="s">
        <v>134</v>
      </c>
    </row>
    <row r="13" spans="1:8" ht="15" customHeight="1">
      <c r="A13" s="5" t="s">
        <v>482</v>
      </c>
      <c r="B13" s="5" t="s">
        <v>131</v>
      </c>
      <c r="C13" s="5" t="s">
        <v>483</v>
      </c>
      <c r="D13" s="12" t="s">
        <v>467</v>
      </c>
      <c r="E13" s="5" t="s">
        <v>14</v>
      </c>
      <c r="F13" s="5" t="s">
        <v>14</v>
      </c>
    </row>
    <row r="14" spans="1:8" ht="15" customHeight="1">
      <c r="A14" s="5" t="s">
        <v>484</v>
      </c>
      <c r="B14" s="5" t="s">
        <v>176</v>
      </c>
      <c r="C14" s="5" t="s">
        <v>485</v>
      </c>
      <c r="D14" s="12" t="s">
        <v>14</v>
      </c>
      <c r="E14" s="5" t="s">
        <v>14</v>
      </c>
      <c r="F14" s="5" t="s">
        <v>14</v>
      </c>
    </row>
    <row r="15" spans="1:8" ht="15" customHeight="1">
      <c r="A15" s="5" t="s">
        <v>486</v>
      </c>
      <c r="B15" s="5" t="s">
        <v>170</v>
      </c>
      <c r="C15" s="5" t="s">
        <v>487</v>
      </c>
      <c r="D15" s="12" t="s">
        <v>14</v>
      </c>
      <c r="E15" s="5" t="s">
        <v>14</v>
      </c>
      <c r="F15" s="5" t="s">
        <v>14</v>
      </c>
    </row>
    <row r="17" spans="1:5">
      <c r="A17" s="9" t="s">
        <v>488</v>
      </c>
      <c r="B17" s="14" t="s">
        <v>489</v>
      </c>
      <c r="C17" s="14"/>
      <c r="D17" s="14"/>
      <c r="E17" s="14"/>
    </row>
  </sheetData>
  <mergeCells count="1">
    <mergeCell ref="B17:E17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22"/>
  <sheetViews>
    <sheetView workbookViewId="0">
      <pane ySplit="4" topLeftCell="A5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64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189</v>
      </c>
      <c r="B6" s="5" t="s">
        <v>131</v>
      </c>
      <c r="C6" s="5" t="s">
        <v>190</v>
      </c>
      <c r="D6" s="12" t="s">
        <v>303</v>
      </c>
      <c r="E6" s="5" t="s">
        <v>14</v>
      </c>
      <c r="F6" s="5" t="s">
        <v>134</v>
      </c>
    </row>
    <row r="7" spans="1:8" ht="15" customHeight="1">
      <c r="A7" s="5" t="s">
        <v>490</v>
      </c>
      <c r="B7" s="5" t="s">
        <v>136</v>
      </c>
      <c r="C7" s="5" t="s">
        <v>491</v>
      </c>
      <c r="D7" s="12" t="s">
        <v>143</v>
      </c>
      <c r="E7" s="5" t="s">
        <v>14</v>
      </c>
      <c r="F7" s="5" t="s">
        <v>134</v>
      </c>
    </row>
    <row r="8" spans="1:8" ht="15" customHeight="1">
      <c r="A8" s="5" t="s">
        <v>492</v>
      </c>
      <c r="B8" s="5" t="s">
        <v>493</v>
      </c>
      <c r="C8" s="5" t="s">
        <v>494</v>
      </c>
      <c r="D8" s="12" t="s">
        <v>143</v>
      </c>
      <c r="E8" s="5" t="s">
        <v>495</v>
      </c>
      <c r="F8" s="5" t="s">
        <v>14</v>
      </c>
    </row>
    <row r="9" spans="1:8" ht="15" customHeight="1">
      <c r="A9" s="5" t="s">
        <v>496</v>
      </c>
      <c r="B9" s="5" t="s">
        <v>209</v>
      </c>
      <c r="C9" s="5" t="s">
        <v>497</v>
      </c>
      <c r="D9" s="12" t="s">
        <v>14</v>
      </c>
      <c r="E9" s="5" t="s">
        <v>14</v>
      </c>
      <c r="F9" s="5" t="s">
        <v>235</v>
      </c>
    </row>
    <row r="10" spans="1:8" ht="15" customHeight="1">
      <c r="A10" s="5" t="s">
        <v>498</v>
      </c>
      <c r="B10" s="5" t="s">
        <v>209</v>
      </c>
      <c r="C10" s="5" t="s">
        <v>499</v>
      </c>
      <c r="D10" s="12" t="s">
        <v>14</v>
      </c>
      <c r="E10" s="5" t="s">
        <v>14</v>
      </c>
      <c r="F10" s="5" t="s">
        <v>14</v>
      </c>
    </row>
    <row r="11" spans="1:8" ht="15" customHeight="1">
      <c r="A11" s="5" t="s">
        <v>500</v>
      </c>
      <c r="B11" s="5" t="s">
        <v>131</v>
      </c>
      <c r="C11" s="5" t="s">
        <v>501</v>
      </c>
      <c r="D11" s="12" t="s">
        <v>467</v>
      </c>
      <c r="E11" s="5" t="s">
        <v>14</v>
      </c>
      <c r="F11" s="5" t="s">
        <v>14</v>
      </c>
    </row>
    <row r="12" spans="1:8" ht="15" customHeight="1">
      <c r="A12" s="5" t="s">
        <v>502</v>
      </c>
      <c r="B12" s="5" t="s">
        <v>236</v>
      </c>
      <c r="C12" s="5" t="s">
        <v>503</v>
      </c>
      <c r="D12" s="12" t="s">
        <v>143</v>
      </c>
      <c r="E12" s="5" t="s">
        <v>14</v>
      </c>
      <c r="F12" s="5" t="s">
        <v>14</v>
      </c>
    </row>
    <row r="13" spans="1:8" ht="15" customHeight="1">
      <c r="A13" s="5" t="s">
        <v>251</v>
      </c>
      <c r="B13" s="5" t="s">
        <v>145</v>
      </c>
      <c r="C13" s="5" t="s">
        <v>252</v>
      </c>
      <c r="D13" s="12" t="s">
        <v>14</v>
      </c>
      <c r="E13" s="5" t="s">
        <v>14</v>
      </c>
      <c r="F13" s="5" t="s">
        <v>14</v>
      </c>
    </row>
    <row r="14" spans="1:8" ht="15" customHeight="1">
      <c r="A14" s="5" t="s">
        <v>504</v>
      </c>
      <c r="B14" s="5" t="s">
        <v>181</v>
      </c>
      <c r="C14" s="5" t="s">
        <v>505</v>
      </c>
      <c r="D14" s="12" t="s">
        <v>14</v>
      </c>
      <c r="E14" s="5" t="s">
        <v>14</v>
      </c>
      <c r="F14" s="5" t="s">
        <v>14</v>
      </c>
    </row>
    <row r="15" spans="1:8" ht="15" customHeight="1">
      <c r="A15" s="5" t="s">
        <v>506</v>
      </c>
      <c r="B15" s="5" t="s">
        <v>507</v>
      </c>
      <c r="C15" s="5" t="s">
        <v>508</v>
      </c>
      <c r="D15" s="12" t="s">
        <v>14</v>
      </c>
      <c r="E15" s="5" t="s">
        <v>14</v>
      </c>
      <c r="F15" s="5" t="s">
        <v>14</v>
      </c>
    </row>
    <row r="16" spans="1:8" ht="45" customHeight="1">
      <c r="A16" s="5" t="s">
        <v>245</v>
      </c>
      <c r="B16" s="5" t="s">
        <v>148</v>
      </c>
      <c r="C16" s="5" t="s">
        <v>246</v>
      </c>
      <c r="D16" s="12" t="s">
        <v>143</v>
      </c>
      <c r="E16" s="5" t="s">
        <v>509</v>
      </c>
      <c r="F16" s="5" t="s">
        <v>235</v>
      </c>
    </row>
    <row r="17" spans="1:6" ht="15" customHeight="1">
      <c r="A17" s="5" t="s">
        <v>262</v>
      </c>
      <c r="B17" s="5" t="s">
        <v>170</v>
      </c>
      <c r="C17" s="5" t="s">
        <v>263</v>
      </c>
      <c r="D17" s="12" t="s">
        <v>14</v>
      </c>
      <c r="E17" s="5" t="s">
        <v>14</v>
      </c>
      <c r="F17" s="5" t="s">
        <v>14</v>
      </c>
    </row>
    <row r="18" spans="1:6" ht="30" customHeight="1">
      <c r="A18" s="5" t="s">
        <v>510</v>
      </c>
      <c r="B18" s="5" t="s">
        <v>315</v>
      </c>
      <c r="C18" s="5" t="s">
        <v>511</v>
      </c>
      <c r="D18" s="12" t="s">
        <v>143</v>
      </c>
      <c r="E18" s="5" t="s">
        <v>512</v>
      </c>
      <c r="F18" s="5" t="s">
        <v>14</v>
      </c>
    </row>
    <row r="19" spans="1:6" ht="15" customHeight="1">
      <c r="A19" s="5" t="s">
        <v>184</v>
      </c>
      <c r="B19" s="5" t="s">
        <v>176</v>
      </c>
      <c r="C19" s="5" t="s">
        <v>185</v>
      </c>
      <c r="D19" s="12" t="s">
        <v>143</v>
      </c>
      <c r="E19" s="5" t="s">
        <v>186</v>
      </c>
      <c r="F19" s="5" t="s">
        <v>14</v>
      </c>
    </row>
    <row r="20" spans="1:6" ht="15" customHeight="1">
      <c r="A20" s="5" t="s">
        <v>187</v>
      </c>
      <c r="B20" s="5" t="s">
        <v>176</v>
      </c>
      <c r="C20" s="5" t="s">
        <v>188</v>
      </c>
      <c r="D20" s="12" t="s">
        <v>143</v>
      </c>
      <c r="E20" s="5" t="s">
        <v>186</v>
      </c>
      <c r="F20" s="5" t="s">
        <v>14</v>
      </c>
    </row>
    <row r="22" spans="1:6">
      <c r="A22" s="9" t="s">
        <v>488</v>
      </c>
      <c r="B22" s="14" t="s">
        <v>513</v>
      </c>
      <c r="C22" s="14"/>
      <c r="D22" s="14"/>
      <c r="E22" s="14"/>
    </row>
  </sheetData>
  <mergeCells count="1">
    <mergeCell ref="B22:E22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7"/>
  <sheetViews>
    <sheetView workbookViewId="0">
      <pane ySplit="4" topLeftCell="A5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67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514</v>
      </c>
      <c r="B6" s="5" t="s">
        <v>131</v>
      </c>
      <c r="C6" s="5" t="s">
        <v>515</v>
      </c>
      <c r="D6" s="12" t="s">
        <v>516</v>
      </c>
      <c r="E6" s="5" t="s">
        <v>14</v>
      </c>
      <c r="F6" s="5" t="s">
        <v>134</v>
      </c>
    </row>
    <row r="7" spans="1:8" ht="15" customHeight="1">
      <c r="A7" s="5" t="s">
        <v>517</v>
      </c>
      <c r="B7" s="5" t="s">
        <v>209</v>
      </c>
      <c r="C7" s="5" t="s">
        <v>518</v>
      </c>
      <c r="D7" s="12" t="s">
        <v>143</v>
      </c>
      <c r="E7" s="5" t="s">
        <v>519</v>
      </c>
      <c r="F7" s="5" t="s">
        <v>134</v>
      </c>
    </row>
    <row r="8" spans="1:8" ht="15" customHeight="1">
      <c r="A8" s="5" t="s">
        <v>391</v>
      </c>
      <c r="B8" s="5" t="s">
        <v>173</v>
      </c>
      <c r="C8" s="5" t="s">
        <v>392</v>
      </c>
      <c r="D8" s="12" t="s">
        <v>143</v>
      </c>
      <c r="E8" s="5" t="s">
        <v>14</v>
      </c>
      <c r="F8" s="5" t="s">
        <v>14</v>
      </c>
    </row>
    <row r="9" spans="1:8" ht="15" customHeight="1">
      <c r="A9" s="5" t="s">
        <v>393</v>
      </c>
      <c r="B9" s="5" t="s">
        <v>141</v>
      </c>
      <c r="C9" s="5" t="s">
        <v>394</v>
      </c>
      <c r="D9" s="12" t="s">
        <v>143</v>
      </c>
      <c r="E9" s="5" t="s">
        <v>14</v>
      </c>
      <c r="F9" s="5" t="s">
        <v>14</v>
      </c>
    </row>
    <row r="10" spans="1:8" ht="15" customHeight="1">
      <c r="A10" s="5" t="s">
        <v>520</v>
      </c>
      <c r="B10" s="5" t="s">
        <v>148</v>
      </c>
      <c r="C10" s="5" t="s">
        <v>521</v>
      </c>
      <c r="D10" s="12" t="s">
        <v>14</v>
      </c>
      <c r="E10" s="5" t="s">
        <v>14</v>
      </c>
      <c r="F10" s="5" t="s">
        <v>14</v>
      </c>
    </row>
    <row r="11" spans="1:8" ht="15" customHeight="1">
      <c r="A11" s="5" t="s">
        <v>522</v>
      </c>
      <c r="B11" s="5" t="s">
        <v>404</v>
      </c>
      <c r="C11" s="5" t="s">
        <v>523</v>
      </c>
      <c r="D11" s="12" t="s">
        <v>143</v>
      </c>
      <c r="E11" s="5" t="s">
        <v>524</v>
      </c>
      <c r="F11" s="5" t="s">
        <v>14</v>
      </c>
    </row>
    <row r="12" spans="1:8" ht="15" customHeight="1">
      <c r="A12" s="5" t="s">
        <v>525</v>
      </c>
      <c r="B12" s="5" t="s">
        <v>404</v>
      </c>
      <c r="C12" s="5" t="s">
        <v>526</v>
      </c>
      <c r="D12" s="12" t="s">
        <v>143</v>
      </c>
      <c r="E12" s="5" t="s">
        <v>527</v>
      </c>
      <c r="F12" s="5" t="s">
        <v>14</v>
      </c>
    </row>
    <row r="13" spans="1:8" ht="15" customHeight="1">
      <c r="A13" s="5" t="s">
        <v>382</v>
      </c>
      <c r="B13" s="5" t="s">
        <v>383</v>
      </c>
      <c r="C13" s="5" t="s">
        <v>384</v>
      </c>
      <c r="D13" s="12" t="s">
        <v>14</v>
      </c>
      <c r="E13" s="5" t="s">
        <v>14</v>
      </c>
      <c r="F13" s="5" t="s">
        <v>14</v>
      </c>
    </row>
    <row r="14" spans="1:8" ht="15" customHeight="1">
      <c r="A14" s="5" t="s">
        <v>504</v>
      </c>
      <c r="B14" s="5" t="s">
        <v>181</v>
      </c>
      <c r="C14" s="5" t="s">
        <v>505</v>
      </c>
      <c r="D14" s="12" t="s">
        <v>14</v>
      </c>
      <c r="E14" s="5" t="s">
        <v>14</v>
      </c>
      <c r="F14" s="5" t="s">
        <v>14</v>
      </c>
    </row>
    <row r="16" spans="1:8">
      <c r="A16" s="9" t="s">
        <v>488</v>
      </c>
      <c r="B16" s="14" t="s">
        <v>528</v>
      </c>
      <c r="C16" s="14"/>
      <c r="D16" s="14"/>
      <c r="E16" s="14"/>
    </row>
    <row r="17" spans="1:5">
      <c r="A17" s="9" t="s">
        <v>266</v>
      </c>
      <c r="B17" s="14" t="s">
        <v>529</v>
      </c>
      <c r="C17" s="14"/>
      <c r="D17" s="14"/>
      <c r="E17" s="14"/>
    </row>
  </sheetData>
  <mergeCells count="2">
    <mergeCell ref="B16:E16"/>
    <mergeCell ref="B17:E17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6"/>
  <sheetViews>
    <sheetView workbookViewId="0">
      <pane ySplit="4" topLeftCell="A5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70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189</v>
      </c>
      <c r="B6" s="5" t="s">
        <v>131</v>
      </c>
      <c r="C6" s="5" t="s">
        <v>190</v>
      </c>
      <c r="D6" s="12" t="s">
        <v>303</v>
      </c>
      <c r="E6" s="5" t="s">
        <v>14</v>
      </c>
      <c r="F6" s="5" t="s">
        <v>134</v>
      </c>
    </row>
    <row r="7" spans="1:8" ht="15" customHeight="1">
      <c r="A7" s="5" t="s">
        <v>530</v>
      </c>
      <c r="B7" s="5" t="s">
        <v>136</v>
      </c>
      <c r="C7" s="5" t="s">
        <v>531</v>
      </c>
      <c r="D7" s="12" t="s">
        <v>143</v>
      </c>
      <c r="E7" s="5" t="s">
        <v>14</v>
      </c>
      <c r="F7" s="5" t="s">
        <v>134</v>
      </c>
    </row>
    <row r="8" spans="1:8" ht="15" customHeight="1">
      <c r="A8" s="5" t="s">
        <v>532</v>
      </c>
      <c r="B8" s="5" t="s">
        <v>141</v>
      </c>
      <c r="C8" s="5" t="s">
        <v>533</v>
      </c>
      <c r="D8" s="12" t="s">
        <v>143</v>
      </c>
      <c r="E8" s="5" t="s">
        <v>14</v>
      </c>
      <c r="F8" s="5" t="s">
        <v>14</v>
      </c>
    </row>
    <row r="9" spans="1:8" ht="15" customHeight="1">
      <c r="A9" s="5" t="s">
        <v>534</v>
      </c>
      <c r="B9" s="5" t="s">
        <v>181</v>
      </c>
      <c r="C9" s="5" t="s">
        <v>535</v>
      </c>
      <c r="D9" s="12" t="s">
        <v>143</v>
      </c>
      <c r="E9" s="5" t="s">
        <v>14</v>
      </c>
      <c r="F9" s="5" t="s">
        <v>14</v>
      </c>
    </row>
    <row r="10" spans="1:8" ht="30" customHeight="1">
      <c r="A10" s="5" t="s">
        <v>245</v>
      </c>
      <c r="B10" s="5" t="s">
        <v>148</v>
      </c>
      <c r="C10" s="5" t="s">
        <v>246</v>
      </c>
      <c r="D10" s="12" t="s">
        <v>143</v>
      </c>
      <c r="E10" s="5" t="s">
        <v>536</v>
      </c>
      <c r="F10" s="5" t="s">
        <v>14</v>
      </c>
    </row>
    <row r="11" spans="1:8" ht="15" customHeight="1">
      <c r="A11" s="5" t="s">
        <v>537</v>
      </c>
      <c r="B11" s="5" t="s">
        <v>507</v>
      </c>
      <c r="C11" s="5" t="s">
        <v>538</v>
      </c>
      <c r="D11" s="12" t="s">
        <v>14</v>
      </c>
      <c r="E11" s="5" t="s">
        <v>14</v>
      </c>
      <c r="F11" s="5" t="s">
        <v>14</v>
      </c>
    </row>
    <row r="12" spans="1:8" ht="15" customHeight="1">
      <c r="A12" s="5" t="s">
        <v>356</v>
      </c>
      <c r="B12" s="5" t="s">
        <v>131</v>
      </c>
      <c r="C12" s="5" t="s">
        <v>357</v>
      </c>
      <c r="D12" s="12" t="s">
        <v>467</v>
      </c>
      <c r="E12" s="5" t="s">
        <v>14</v>
      </c>
      <c r="F12" s="5" t="s">
        <v>14</v>
      </c>
    </row>
    <row r="13" spans="1:8" ht="15" customHeight="1">
      <c r="A13" s="5" t="s">
        <v>184</v>
      </c>
      <c r="B13" s="5" t="s">
        <v>176</v>
      </c>
      <c r="C13" s="5" t="s">
        <v>185</v>
      </c>
      <c r="D13" s="12" t="s">
        <v>143</v>
      </c>
      <c r="E13" s="5" t="s">
        <v>186</v>
      </c>
      <c r="F13" s="5" t="s">
        <v>14</v>
      </c>
    </row>
    <row r="14" spans="1:8" ht="15" customHeight="1">
      <c r="A14" s="5" t="s">
        <v>187</v>
      </c>
      <c r="B14" s="5" t="s">
        <v>176</v>
      </c>
      <c r="C14" s="5" t="s">
        <v>188</v>
      </c>
      <c r="D14" s="12" t="s">
        <v>143</v>
      </c>
      <c r="E14" s="5" t="s">
        <v>186</v>
      </c>
      <c r="F14" s="5" t="s">
        <v>14</v>
      </c>
    </row>
    <row r="16" spans="1:8">
      <c r="A16" s="9" t="s">
        <v>488</v>
      </c>
      <c r="B16" s="14" t="s">
        <v>539</v>
      </c>
      <c r="C16" s="14"/>
      <c r="D16" s="14"/>
      <c r="E16" s="14"/>
    </row>
  </sheetData>
  <mergeCells count="1">
    <mergeCell ref="B16:E16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7"/>
  <sheetViews>
    <sheetView workbookViewId="0">
      <pane ySplit="4" topLeftCell="A5" activePane="bottomLeft" state="frozen"/>
      <selection pane="bottomLeft" activeCell="B2" sqref="B2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9" t="s">
        <v>122</v>
      </c>
      <c r="B1" s="10" t="s">
        <v>72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540</v>
      </c>
      <c r="B6" s="5" t="s">
        <v>131</v>
      </c>
      <c r="C6" s="5" t="s">
        <v>541</v>
      </c>
      <c r="D6" s="12" t="s">
        <v>542</v>
      </c>
      <c r="E6" s="5" t="s">
        <v>14</v>
      </c>
      <c r="F6" s="5" t="s">
        <v>134</v>
      </c>
    </row>
    <row r="7" spans="1:8" ht="15" customHeight="1">
      <c r="A7" s="5" t="s">
        <v>517</v>
      </c>
      <c r="B7" s="5" t="s">
        <v>209</v>
      </c>
      <c r="C7" s="5" t="s">
        <v>518</v>
      </c>
      <c r="D7" s="12" t="s">
        <v>143</v>
      </c>
      <c r="E7" s="5" t="s">
        <v>14</v>
      </c>
      <c r="F7" s="5" t="s">
        <v>134</v>
      </c>
    </row>
    <row r="8" spans="1:8" ht="15" customHeight="1">
      <c r="A8" s="5" t="s">
        <v>391</v>
      </c>
      <c r="B8" s="5" t="s">
        <v>173</v>
      </c>
      <c r="C8" s="5" t="s">
        <v>392</v>
      </c>
      <c r="D8" s="12" t="s">
        <v>143</v>
      </c>
      <c r="E8" s="5" t="s">
        <v>14</v>
      </c>
      <c r="F8" s="5" t="s">
        <v>14</v>
      </c>
    </row>
    <row r="9" spans="1:8" ht="15" customHeight="1">
      <c r="A9" s="5" t="s">
        <v>393</v>
      </c>
      <c r="B9" s="5" t="s">
        <v>141</v>
      </c>
      <c r="C9" s="5" t="s">
        <v>394</v>
      </c>
      <c r="D9" s="12" t="s">
        <v>143</v>
      </c>
      <c r="E9" s="5" t="s">
        <v>14</v>
      </c>
      <c r="F9" s="5" t="s">
        <v>14</v>
      </c>
    </row>
    <row r="10" spans="1:8" ht="15" customHeight="1">
      <c r="A10" s="5" t="s">
        <v>520</v>
      </c>
      <c r="B10" s="5" t="s">
        <v>148</v>
      </c>
      <c r="C10" s="5" t="s">
        <v>521</v>
      </c>
      <c r="D10" s="12" t="s">
        <v>14</v>
      </c>
      <c r="E10" s="5" t="s">
        <v>14</v>
      </c>
      <c r="F10" s="5" t="s">
        <v>14</v>
      </c>
    </row>
    <row r="11" spans="1:8" ht="15" customHeight="1">
      <c r="A11" s="5" t="s">
        <v>522</v>
      </c>
      <c r="B11" s="5" t="s">
        <v>404</v>
      </c>
      <c r="C11" s="5" t="s">
        <v>523</v>
      </c>
      <c r="D11" s="12" t="s">
        <v>143</v>
      </c>
      <c r="E11" s="5" t="s">
        <v>524</v>
      </c>
      <c r="F11" s="5" t="s">
        <v>14</v>
      </c>
    </row>
    <row r="12" spans="1:8" ht="15" customHeight="1">
      <c r="A12" s="5" t="s">
        <v>543</v>
      </c>
      <c r="B12" s="5" t="s">
        <v>404</v>
      </c>
      <c r="C12" s="5" t="s">
        <v>544</v>
      </c>
      <c r="D12" s="12" t="s">
        <v>143</v>
      </c>
      <c r="E12" s="5" t="s">
        <v>412</v>
      </c>
      <c r="F12" s="5" t="s">
        <v>14</v>
      </c>
    </row>
    <row r="13" spans="1:8" ht="15" customHeight="1">
      <c r="A13" s="5" t="s">
        <v>382</v>
      </c>
      <c r="B13" s="5" t="s">
        <v>383</v>
      </c>
      <c r="C13" s="5" t="s">
        <v>384</v>
      </c>
      <c r="D13" s="12" t="s">
        <v>14</v>
      </c>
      <c r="E13" s="5" t="s">
        <v>14</v>
      </c>
      <c r="F13" s="5" t="s">
        <v>14</v>
      </c>
    </row>
    <row r="14" spans="1:8" ht="15" customHeight="1">
      <c r="A14" s="5" t="s">
        <v>504</v>
      </c>
      <c r="B14" s="5" t="s">
        <v>181</v>
      </c>
      <c r="C14" s="5" t="s">
        <v>505</v>
      </c>
      <c r="D14" s="12" t="s">
        <v>14</v>
      </c>
      <c r="E14" s="5" t="s">
        <v>14</v>
      </c>
      <c r="F14" s="5" t="s">
        <v>14</v>
      </c>
    </row>
    <row r="16" spans="1:8">
      <c r="A16" s="9" t="s">
        <v>488</v>
      </c>
      <c r="B16" s="14" t="s">
        <v>545</v>
      </c>
      <c r="C16" s="14"/>
      <c r="D16" s="14"/>
      <c r="E16" s="14"/>
    </row>
    <row r="17" spans="1:5">
      <c r="A17" s="9" t="s">
        <v>266</v>
      </c>
      <c r="B17" s="14" t="s">
        <v>546</v>
      </c>
      <c r="C17" s="14"/>
      <c r="D17" s="14"/>
      <c r="E17" s="14"/>
    </row>
  </sheetData>
  <mergeCells count="2">
    <mergeCell ref="B16:E16"/>
    <mergeCell ref="B17:E17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9"/>
  <sheetViews>
    <sheetView tabSelected="1" workbookViewId="0">
      <pane ySplit="4" topLeftCell="A5" activePane="bottomLeft" state="frozen"/>
      <selection activeCell="C18" sqref="C18"/>
      <selection pane="bottomLeft" activeCell="C18" sqref="C18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15" t="s">
        <v>122</v>
      </c>
      <c r="B1" s="10" t="s">
        <v>74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30" customHeight="1">
      <c r="A5" s="5" t="s">
        <v>547</v>
      </c>
      <c r="B5" s="5" t="s">
        <v>131</v>
      </c>
      <c r="C5" s="5" t="s">
        <v>548</v>
      </c>
      <c r="D5" s="12" t="s">
        <v>549</v>
      </c>
      <c r="E5" s="5" t="s">
        <v>14</v>
      </c>
      <c r="F5" s="5" t="s">
        <v>134</v>
      </c>
    </row>
    <row r="6" spans="1:8" ht="30" customHeight="1">
      <c r="A6" s="5" t="s">
        <v>550</v>
      </c>
      <c r="B6" s="5" t="s">
        <v>131</v>
      </c>
      <c r="C6" s="5" t="s">
        <v>551</v>
      </c>
      <c r="D6" s="12" t="s">
        <v>552</v>
      </c>
      <c r="E6" s="5" t="s">
        <v>14</v>
      </c>
      <c r="F6" s="5" t="s">
        <v>134</v>
      </c>
    </row>
    <row r="7" spans="1:8" ht="15" customHeight="1">
      <c r="A7" s="5" t="s">
        <v>522</v>
      </c>
      <c r="B7" s="5" t="s">
        <v>404</v>
      </c>
      <c r="C7" s="5" t="s">
        <v>523</v>
      </c>
      <c r="D7" s="12" t="s">
        <v>143</v>
      </c>
      <c r="E7" s="5" t="s">
        <v>14</v>
      </c>
      <c r="F7" s="5" t="s">
        <v>14</v>
      </c>
    </row>
    <row r="9" spans="1:8">
      <c r="A9" s="9" t="s">
        <v>370</v>
      </c>
      <c r="B9" s="14" t="s">
        <v>553</v>
      </c>
      <c r="C9" s="14"/>
      <c r="D9" s="14"/>
      <c r="E9" s="14"/>
    </row>
  </sheetData>
  <mergeCells count="1">
    <mergeCell ref="B9:E9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0"/>
  <sheetViews>
    <sheetView tabSelected="1" workbookViewId="0">
      <pane ySplit="4" topLeftCell="A5" activePane="bottomLeft" state="frozen"/>
      <selection activeCell="C18" sqref="C18"/>
      <selection pane="bottomLeft" activeCell="C18" sqref="C18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15" t="s">
        <v>122</v>
      </c>
      <c r="B1" s="10" t="s">
        <v>77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540</v>
      </c>
      <c r="B5" s="5" t="s">
        <v>131</v>
      </c>
      <c r="C5" s="5" t="s">
        <v>541</v>
      </c>
      <c r="D5" s="12" t="s">
        <v>554</v>
      </c>
      <c r="E5" s="5" t="s">
        <v>14</v>
      </c>
      <c r="F5" s="5" t="s">
        <v>134</v>
      </c>
    </row>
    <row r="6" spans="1:8" ht="15" customHeight="1">
      <c r="A6" s="5" t="s">
        <v>248</v>
      </c>
      <c r="B6" s="5" t="s">
        <v>131</v>
      </c>
      <c r="C6" s="5" t="s">
        <v>249</v>
      </c>
      <c r="D6" s="12" t="s">
        <v>555</v>
      </c>
      <c r="E6" s="5" t="s">
        <v>14</v>
      </c>
      <c r="F6" s="5" t="s">
        <v>134</v>
      </c>
    </row>
    <row r="7" spans="1:8" ht="15" customHeight="1">
      <c r="A7" s="5" t="s">
        <v>556</v>
      </c>
      <c r="B7" s="5" t="s">
        <v>176</v>
      </c>
      <c r="C7" s="5" t="s">
        <v>557</v>
      </c>
      <c r="D7" s="12" t="s">
        <v>143</v>
      </c>
      <c r="E7" s="5" t="s">
        <v>186</v>
      </c>
      <c r="F7" s="5" t="s">
        <v>14</v>
      </c>
    </row>
    <row r="8" spans="1:8" ht="15" customHeight="1">
      <c r="A8" s="5" t="s">
        <v>558</v>
      </c>
      <c r="B8" s="5" t="s">
        <v>176</v>
      </c>
      <c r="C8" s="5" t="s">
        <v>559</v>
      </c>
      <c r="D8" s="12" t="s">
        <v>14</v>
      </c>
      <c r="E8" s="5" t="s">
        <v>14</v>
      </c>
      <c r="F8" s="5" t="s">
        <v>14</v>
      </c>
    </row>
    <row r="10" spans="1:8">
      <c r="A10" s="9" t="s">
        <v>370</v>
      </c>
      <c r="B10" s="14" t="s">
        <v>560</v>
      </c>
      <c r="C10" s="14"/>
      <c r="D10" s="14"/>
      <c r="E10" s="14"/>
    </row>
  </sheetData>
  <mergeCells count="1">
    <mergeCell ref="B10:E10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6"/>
  <sheetViews>
    <sheetView tabSelected="1" workbookViewId="0">
      <pane ySplit="4" topLeftCell="A5" activePane="bottomLeft" state="frozen"/>
      <selection activeCell="C18" sqref="C18"/>
      <selection pane="bottomLeft" activeCell="C18" sqref="C18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15" t="s">
        <v>122</v>
      </c>
      <c r="B1" s="10" t="s">
        <v>80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540</v>
      </c>
      <c r="B6" s="5" t="s">
        <v>131</v>
      </c>
      <c r="C6" s="5" t="s">
        <v>541</v>
      </c>
      <c r="D6" s="12" t="s">
        <v>542</v>
      </c>
      <c r="E6" s="5" t="s">
        <v>14</v>
      </c>
      <c r="F6" s="5" t="s">
        <v>134</v>
      </c>
    </row>
    <row r="7" spans="1:8" ht="15" customHeight="1">
      <c r="A7" s="5" t="s">
        <v>248</v>
      </c>
      <c r="B7" s="5" t="s">
        <v>131</v>
      </c>
      <c r="C7" s="5" t="s">
        <v>249</v>
      </c>
      <c r="D7" s="12" t="s">
        <v>449</v>
      </c>
      <c r="E7" s="5" t="s">
        <v>14</v>
      </c>
      <c r="F7" s="5" t="s">
        <v>134</v>
      </c>
    </row>
    <row r="8" spans="1:8" ht="15" customHeight="1">
      <c r="A8" s="5" t="s">
        <v>561</v>
      </c>
      <c r="B8" s="5" t="s">
        <v>181</v>
      </c>
      <c r="C8" s="5" t="s">
        <v>562</v>
      </c>
      <c r="D8" s="12" t="s">
        <v>143</v>
      </c>
      <c r="E8" s="5" t="s">
        <v>14</v>
      </c>
      <c r="F8" s="5" t="s">
        <v>14</v>
      </c>
    </row>
    <row r="9" spans="1:8" ht="15" customHeight="1">
      <c r="A9" s="5" t="s">
        <v>563</v>
      </c>
      <c r="B9" s="5" t="s">
        <v>141</v>
      </c>
      <c r="C9" s="5" t="s">
        <v>564</v>
      </c>
      <c r="D9" s="12" t="s">
        <v>14</v>
      </c>
      <c r="E9" s="5" t="s">
        <v>14</v>
      </c>
      <c r="F9" s="5" t="s">
        <v>14</v>
      </c>
    </row>
    <row r="10" spans="1:8" ht="15" customHeight="1">
      <c r="A10" s="5" t="s">
        <v>537</v>
      </c>
      <c r="B10" s="5" t="s">
        <v>507</v>
      </c>
      <c r="C10" s="5" t="s">
        <v>538</v>
      </c>
      <c r="D10" s="12" t="s">
        <v>14</v>
      </c>
      <c r="E10" s="5" t="s">
        <v>14</v>
      </c>
      <c r="F10" s="5" t="s">
        <v>14</v>
      </c>
    </row>
    <row r="11" spans="1:8" ht="15" customHeight="1">
      <c r="A11" s="5" t="s">
        <v>565</v>
      </c>
      <c r="B11" s="5" t="s">
        <v>353</v>
      </c>
      <c r="C11" s="5" t="s">
        <v>566</v>
      </c>
      <c r="D11" s="12" t="s">
        <v>143</v>
      </c>
      <c r="E11" s="5" t="s">
        <v>355</v>
      </c>
      <c r="F11" s="5" t="s">
        <v>14</v>
      </c>
    </row>
    <row r="12" spans="1:8" ht="30" customHeight="1">
      <c r="A12" s="5" t="s">
        <v>245</v>
      </c>
      <c r="B12" s="5" t="s">
        <v>148</v>
      </c>
      <c r="C12" s="5" t="s">
        <v>246</v>
      </c>
      <c r="D12" s="12" t="s">
        <v>143</v>
      </c>
      <c r="E12" s="5" t="s">
        <v>567</v>
      </c>
      <c r="F12" s="5" t="s">
        <v>14</v>
      </c>
    </row>
    <row r="13" spans="1:8" ht="15" customHeight="1">
      <c r="A13" s="5" t="s">
        <v>568</v>
      </c>
      <c r="B13" s="5" t="s">
        <v>176</v>
      </c>
      <c r="C13" s="5" t="s">
        <v>569</v>
      </c>
      <c r="D13" s="12" t="s">
        <v>143</v>
      </c>
      <c r="E13" s="5" t="s">
        <v>186</v>
      </c>
      <c r="F13" s="5" t="s">
        <v>14</v>
      </c>
    </row>
    <row r="14" spans="1:8" ht="15" customHeight="1">
      <c r="A14" s="5" t="s">
        <v>187</v>
      </c>
      <c r="B14" s="5" t="s">
        <v>176</v>
      </c>
      <c r="C14" s="5" t="s">
        <v>188</v>
      </c>
      <c r="D14" s="12" t="s">
        <v>143</v>
      </c>
      <c r="E14" s="5" t="s">
        <v>186</v>
      </c>
      <c r="F14" s="5" t="s">
        <v>14</v>
      </c>
    </row>
    <row r="16" spans="1:8">
      <c r="A16" s="9" t="s">
        <v>488</v>
      </c>
      <c r="B16" s="14" t="s">
        <v>560</v>
      </c>
      <c r="C16" s="14"/>
      <c r="D16" s="14"/>
      <c r="E16" s="14"/>
    </row>
  </sheetData>
  <mergeCells count="1">
    <mergeCell ref="B16:E16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2"/>
  <sheetViews>
    <sheetView tabSelected="1" workbookViewId="0">
      <pane ySplit="4" topLeftCell="A5" activePane="bottomLeft" state="frozen"/>
      <selection activeCell="C18" sqref="C18"/>
      <selection pane="bottomLeft" activeCell="C18" sqref="C18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15" t="s">
        <v>122</v>
      </c>
      <c r="B1" s="10" t="s">
        <v>82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570</v>
      </c>
      <c r="B6" s="5" t="s">
        <v>131</v>
      </c>
      <c r="C6" s="5" t="s">
        <v>571</v>
      </c>
      <c r="D6" s="12" t="s">
        <v>572</v>
      </c>
      <c r="E6" s="5" t="s">
        <v>14</v>
      </c>
      <c r="F6" s="5" t="s">
        <v>134</v>
      </c>
    </row>
    <row r="7" spans="1:8" ht="15" customHeight="1">
      <c r="A7" s="5" t="s">
        <v>547</v>
      </c>
      <c r="B7" s="5" t="s">
        <v>131</v>
      </c>
      <c r="C7" s="5" t="s">
        <v>548</v>
      </c>
      <c r="D7" s="12" t="s">
        <v>573</v>
      </c>
      <c r="E7" s="5" t="s">
        <v>14</v>
      </c>
      <c r="F7" s="5" t="s">
        <v>134</v>
      </c>
    </row>
    <row r="8" spans="1:8" ht="15" customHeight="1">
      <c r="A8" s="5" t="s">
        <v>574</v>
      </c>
      <c r="B8" s="5" t="s">
        <v>404</v>
      </c>
      <c r="C8" s="5" t="s">
        <v>575</v>
      </c>
      <c r="D8" s="12" t="s">
        <v>143</v>
      </c>
      <c r="E8" s="5" t="s">
        <v>576</v>
      </c>
      <c r="F8" s="5" t="s">
        <v>14</v>
      </c>
    </row>
    <row r="9" spans="1:8" ht="15" customHeight="1">
      <c r="A9" s="5" t="s">
        <v>577</v>
      </c>
      <c r="B9" s="5" t="s">
        <v>404</v>
      </c>
      <c r="C9" s="5" t="s">
        <v>578</v>
      </c>
      <c r="D9" s="12" t="s">
        <v>143</v>
      </c>
      <c r="E9" s="5" t="s">
        <v>579</v>
      </c>
      <c r="F9" s="5" t="s">
        <v>14</v>
      </c>
    </row>
    <row r="10" spans="1:8" ht="15" customHeight="1">
      <c r="A10" s="5" t="s">
        <v>580</v>
      </c>
      <c r="B10" s="5" t="s">
        <v>446</v>
      </c>
      <c r="C10" s="5" t="s">
        <v>581</v>
      </c>
      <c r="D10" s="12" t="s">
        <v>14</v>
      </c>
      <c r="E10" s="5" t="s">
        <v>14</v>
      </c>
      <c r="F10" s="5" t="s">
        <v>14</v>
      </c>
    </row>
    <row r="12" spans="1:8">
      <c r="A12" s="9" t="s">
        <v>488</v>
      </c>
      <c r="B12" s="14" t="s">
        <v>582</v>
      </c>
      <c r="C12" s="14"/>
      <c r="D12" s="14"/>
      <c r="E12" s="14"/>
    </row>
  </sheetData>
  <mergeCells count="1">
    <mergeCell ref="B12:E12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4"/>
  <sheetViews>
    <sheetView tabSelected="1" workbookViewId="0">
      <pane ySplit="4" topLeftCell="A5" activePane="bottomLeft" state="frozen"/>
      <selection activeCell="C18" sqref="C18"/>
      <selection pane="bottomLeft" activeCell="C18" sqref="C18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15" t="s">
        <v>122</v>
      </c>
      <c r="B1" s="10" t="s">
        <v>85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540</v>
      </c>
      <c r="B6" s="5" t="s">
        <v>131</v>
      </c>
      <c r="C6" s="5" t="s">
        <v>541</v>
      </c>
      <c r="D6" s="12" t="s">
        <v>542</v>
      </c>
      <c r="E6" s="5" t="s">
        <v>14</v>
      </c>
      <c r="F6" s="5" t="s">
        <v>14</v>
      </c>
    </row>
    <row r="7" spans="1:8" ht="15" customHeight="1">
      <c r="A7" s="5" t="s">
        <v>547</v>
      </c>
      <c r="B7" s="5" t="s">
        <v>131</v>
      </c>
      <c r="C7" s="5" t="s">
        <v>548</v>
      </c>
      <c r="D7" s="12" t="s">
        <v>573</v>
      </c>
      <c r="E7" s="5" t="s">
        <v>14</v>
      </c>
      <c r="F7" s="5" t="s">
        <v>14</v>
      </c>
    </row>
    <row r="8" spans="1:8" ht="15" customHeight="1">
      <c r="A8" s="5" t="s">
        <v>570</v>
      </c>
      <c r="B8" s="5" t="s">
        <v>131</v>
      </c>
      <c r="C8" s="5" t="s">
        <v>571</v>
      </c>
      <c r="D8" s="12" t="s">
        <v>572</v>
      </c>
      <c r="E8" s="5" t="s">
        <v>14</v>
      </c>
      <c r="F8" s="5" t="s">
        <v>14</v>
      </c>
    </row>
    <row r="9" spans="1:8" ht="15" customHeight="1">
      <c r="A9" s="5" t="s">
        <v>248</v>
      </c>
      <c r="B9" s="5" t="s">
        <v>131</v>
      </c>
      <c r="C9" s="5" t="s">
        <v>249</v>
      </c>
      <c r="D9" s="12" t="s">
        <v>449</v>
      </c>
      <c r="E9" s="5" t="s">
        <v>14</v>
      </c>
      <c r="F9" s="5" t="s">
        <v>14</v>
      </c>
    </row>
    <row r="10" spans="1:8" ht="15" customHeight="1">
      <c r="A10" s="5" t="s">
        <v>543</v>
      </c>
      <c r="B10" s="5" t="s">
        <v>404</v>
      </c>
      <c r="C10" s="5" t="s">
        <v>544</v>
      </c>
      <c r="D10" s="12" t="s">
        <v>143</v>
      </c>
      <c r="E10" s="5" t="s">
        <v>583</v>
      </c>
      <c r="F10" s="5" t="s">
        <v>14</v>
      </c>
    </row>
    <row r="11" spans="1:8" ht="15" customHeight="1">
      <c r="A11" s="5" t="s">
        <v>574</v>
      </c>
      <c r="B11" s="5" t="s">
        <v>404</v>
      </c>
      <c r="C11" s="5" t="s">
        <v>575</v>
      </c>
      <c r="D11" s="12" t="s">
        <v>143</v>
      </c>
      <c r="E11" s="5" t="s">
        <v>14</v>
      </c>
      <c r="F11" s="5" t="s">
        <v>14</v>
      </c>
    </row>
    <row r="12" spans="1:8" ht="15" customHeight="1">
      <c r="A12" s="5" t="s">
        <v>584</v>
      </c>
      <c r="B12" s="5" t="s">
        <v>131</v>
      </c>
      <c r="C12" s="5" t="s">
        <v>585</v>
      </c>
      <c r="D12" s="12" t="s">
        <v>586</v>
      </c>
      <c r="E12" s="5" t="s">
        <v>587</v>
      </c>
      <c r="F12" s="5" t="s">
        <v>14</v>
      </c>
    </row>
    <row r="13" spans="1:8" ht="15" customHeight="1">
      <c r="A13" s="5" t="s">
        <v>588</v>
      </c>
      <c r="B13" s="5" t="s">
        <v>131</v>
      </c>
      <c r="C13" s="5" t="s">
        <v>589</v>
      </c>
      <c r="D13" s="12" t="s">
        <v>467</v>
      </c>
      <c r="E13" s="5" t="s">
        <v>14</v>
      </c>
      <c r="F13" s="5" t="s">
        <v>14</v>
      </c>
    </row>
    <row r="14" spans="1:8" ht="15" customHeight="1">
      <c r="A14" s="5" t="s">
        <v>590</v>
      </c>
      <c r="B14" s="5" t="s">
        <v>176</v>
      </c>
      <c r="C14" s="5" t="s">
        <v>591</v>
      </c>
      <c r="D14" s="12" t="s">
        <v>143</v>
      </c>
      <c r="E14" s="5" t="s">
        <v>186</v>
      </c>
      <c r="F14" s="5" t="s">
        <v>14</v>
      </c>
    </row>
  </sheetData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24"/>
  <sheetViews>
    <sheetView tabSelected="1" workbookViewId="0">
      <pane ySplit="4" topLeftCell="A5" activePane="bottomLeft" state="frozen"/>
      <selection activeCell="C18" sqref="C18"/>
      <selection pane="bottomLeft" activeCell="C18" sqref="C18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15" t="s">
        <v>122</v>
      </c>
      <c r="B1" s="10" t="s">
        <v>88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189</v>
      </c>
      <c r="B6" s="5" t="s">
        <v>131</v>
      </c>
      <c r="C6" s="5" t="s">
        <v>190</v>
      </c>
      <c r="D6" s="12" t="s">
        <v>303</v>
      </c>
      <c r="E6" s="5" t="s">
        <v>14</v>
      </c>
      <c r="F6" s="5" t="s">
        <v>235</v>
      </c>
    </row>
    <row r="7" spans="1:8" ht="15" customHeight="1">
      <c r="A7" s="5" t="s">
        <v>248</v>
      </c>
      <c r="B7" s="5" t="s">
        <v>131</v>
      </c>
      <c r="C7" s="5" t="s">
        <v>249</v>
      </c>
      <c r="D7" s="12" t="s">
        <v>449</v>
      </c>
      <c r="E7" s="5" t="s">
        <v>14</v>
      </c>
      <c r="F7" s="5" t="s">
        <v>235</v>
      </c>
    </row>
    <row r="8" spans="1:8" ht="15" customHeight="1">
      <c r="A8" s="5" t="s">
        <v>425</v>
      </c>
      <c r="B8" s="5" t="s">
        <v>315</v>
      </c>
      <c r="C8" s="5" t="s">
        <v>426</v>
      </c>
      <c r="D8" s="12" t="s">
        <v>143</v>
      </c>
      <c r="E8" s="5" t="s">
        <v>14</v>
      </c>
      <c r="F8" s="5" t="s">
        <v>14</v>
      </c>
    </row>
    <row r="9" spans="1:8" ht="15" customHeight="1">
      <c r="A9" s="5" t="s">
        <v>492</v>
      </c>
      <c r="B9" s="5" t="s">
        <v>213</v>
      </c>
      <c r="C9" s="5" t="s">
        <v>494</v>
      </c>
      <c r="D9" s="12" t="s">
        <v>143</v>
      </c>
      <c r="E9" s="5" t="s">
        <v>592</v>
      </c>
      <c r="F9" s="5" t="s">
        <v>14</v>
      </c>
    </row>
    <row r="10" spans="1:8" ht="15" customHeight="1">
      <c r="A10" s="5" t="s">
        <v>540</v>
      </c>
      <c r="B10" s="5" t="s">
        <v>131</v>
      </c>
      <c r="C10" s="5" t="s">
        <v>541</v>
      </c>
      <c r="D10" s="12" t="s">
        <v>593</v>
      </c>
      <c r="E10" s="5" t="s">
        <v>14</v>
      </c>
      <c r="F10" s="5" t="s">
        <v>14</v>
      </c>
    </row>
    <row r="11" spans="1:8" ht="15" customHeight="1">
      <c r="A11" s="5" t="s">
        <v>496</v>
      </c>
      <c r="B11" s="5" t="s">
        <v>209</v>
      </c>
      <c r="C11" s="5" t="s">
        <v>497</v>
      </c>
      <c r="D11" s="12" t="s">
        <v>14</v>
      </c>
      <c r="E11" s="5" t="s">
        <v>14</v>
      </c>
      <c r="F11" s="5" t="s">
        <v>235</v>
      </c>
    </row>
    <row r="12" spans="1:8" ht="15" customHeight="1">
      <c r="A12" s="5" t="s">
        <v>498</v>
      </c>
      <c r="B12" s="5" t="s">
        <v>209</v>
      </c>
      <c r="C12" s="5" t="s">
        <v>499</v>
      </c>
      <c r="D12" s="12" t="s">
        <v>14</v>
      </c>
      <c r="E12" s="5" t="s">
        <v>14</v>
      </c>
      <c r="F12" s="5" t="s">
        <v>14</v>
      </c>
    </row>
    <row r="13" spans="1:8" ht="15" customHeight="1">
      <c r="A13" s="5" t="s">
        <v>594</v>
      </c>
      <c r="B13" s="5" t="s">
        <v>181</v>
      </c>
      <c r="C13" s="5" t="s">
        <v>595</v>
      </c>
      <c r="D13" s="12" t="s">
        <v>143</v>
      </c>
      <c r="E13" s="5" t="s">
        <v>183</v>
      </c>
      <c r="F13" s="5" t="s">
        <v>14</v>
      </c>
    </row>
    <row r="14" spans="1:8" ht="15" customHeight="1">
      <c r="A14" s="5" t="s">
        <v>596</v>
      </c>
      <c r="B14" s="5" t="s">
        <v>181</v>
      </c>
      <c r="C14" s="5" t="s">
        <v>597</v>
      </c>
      <c r="D14" s="12" t="s">
        <v>143</v>
      </c>
      <c r="E14" s="5" t="s">
        <v>14</v>
      </c>
      <c r="F14" s="5" t="s">
        <v>14</v>
      </c>
    </row>
    <row r="15" spans="1:8" ht="15" customHeight="1">
      <c r="A15" s="5" t="s">
        <v>226</v>
      </c>
      <c r="B15" s="5" t="s">
        <v>227</v>
      </c>
      <c r="C15" s="5" t="s">
        <v>228</v>
      </c>
      <c r="D15" s="12" t="s">
        <v>143</v>
      </c>
      <c r="E15" s="5" t="s">
        <v>229</v>
      </c>
      <c r="F15" s="5" t="s">
        <v>14</v>
      </c>
    </row>
    <row r="16" spans="1:8" ht="15" customHeight="1">
      <c r="A16" s="5" t="s">
        <v>486</v>
      </c>
      <c r="B16" s="5" t="s">
        <v>170</v>
      </c>
      <c r="C16" s="5" t="s">
        <v>487</v>
      </c>
      <c r="D16" s="12" t="s">
        <v>14</v>
      </c>
      <c r="E16" s="5" t="s">
        <v>14</v>
      </c>
      <c r="F16" s="5" t="s">
        <v>14</v>
      </c>
    </row>
    <row r="17" spans="1:6" ht="15" customHeight="1">
      <c r="A17" s="5" t="s">
        <v>598</v>
      </c>
      <c r="B17" s="5" t="s">
        <v>404</v>
      </c>
      <c r="C17" s="5" t="s">
        <v>599</v>
      </c>
      <c r="D17" s="12" t="s">
        <v>143</v>
      </c>
      <c r="E17" s="5" t="s">
        <v>412</v>
      </c>
      <c r="F17" s="5" t="s">
        <v>14</v>
      </c>
    </row>
    <row r="18" spans="1:6" ht="45" customHeight="1">
      <c r="A18" s="5" t="s">
        <v>245</v>
      </c>
      <c r="B18" s="5" t="s">
        <v>350</v>
      </c>
      <c r="C18" s="5"/>
      <c r="D18" s="12" t="s">
        <v>143</v>
      </c>
      <c r="E18" s="5" t="s">
        <v>600</v>
      </c>
      <c r="F18" s="5" t="s">
        <v>235</v>
      </c>
    </row>
    <row r="19" spans="1:6" ht="15" customHeight="1">
      <c r="A19" s="5" t="s">
        <v>601</v>
      </c>
      <c r="B19" s="5" t="s">
        <v>170</v>
      </c>
      <c r="C19" s="5" t="s">
        <v>602</v>
      </c>
      <c r="D19" s="12" t="s">
        <v>14</v>
      </c>
      <c r="E19" s="5" t="s">
        <v>14</v>
      </c>
      <c r="F19" s="5" t="s">
        <v>14</v>
      </c>
    </row>
    <row r="20" spans="1:6" ht="15" customHeight="1">
      <c r="A20" s="5" t="s">
        <v>603</v>
      </c>
      <c r="B20" s="5" t="s">
        <v>176</v>
      </c>
      <c r="C20" s="5" t="s">
        <v>604</v>
      </c>
      <c r="D20" s="12" t="s">
        <v>14</v>
      </c>
      <c r="E20" s="5" t="s">
        <v>14</v>
      </c>
      <c r="F20" s="5" t="s">
        <v>14</v>
      </c>
    </row>
    <row r="21" spans="1:6" ht="15" customHeight="1">
      <c r="A21" s="5" t="s">
        <v>605</v>
      </c>
      <c r="B21" s="5" t="s">
        <v>131</v>
      </c>
      <c r="C21" s="5" t="s">
        <v>606</v>
      </c>
      <c r="D21" s="12" t="s">
        <v>467</v>
      </c>
      <c r="E21" s="5" t="s">
        <v>14</v>
      </c>
      <c r="F21" s="5" t="s">
        <v>14</v>
      </c>
    </row>
    <row r="22" spans="1:6" ht="15" customHeight="1">
      <c r="A22" s="5" t="s">
        <v>356</v>
      </c>
      <c r="B22" s="5" t="s">
        <v>131</v>
      </c>
      <c r="C22" s="5" t="s">
        <v>357</v>
      </c>
      <c r="D22" s="12" t="s">
        <v>467</v>
      </c>
      <c r="E22" s="5" t="s">
        <v>14</v>
      </c>
      <c r="F22" s="5" t="s">
        <v>14</v>
      </c>
    </row>
    <row r="23" spans="1:6" ht="15" customHeight="1">
      <c r="A23" s="5" t="s">
        <v>184</v>
      </c>
      <c r="B23" s="5" t="s">
        <v>176</v>
      </c>
      <c r="C23" s="5" t="s">
        <v>185</v>
      </c>
      <c r="D23" s="12" t="s">
        <v>143</v>
      </c>
      <c r="E23" s="5" t="s">
        <v>186</v>
      </c>
      <c r="F23" s="5" t="s">
        <v>14</v>
      </c>
    </row>
    <row r="24" spans="1:6" ht="15" customHeight="1">
      <c r="A24" s="5" t="s">
        <v>187</v>
      </c>
      <c r="B24" s="5" t="s">
        <v>176</v>
      </c>
      <c r="C24" s="5" t="s">
        <v>188</v>
      </c>
      <c r="D24" s="12" t="s">
        <v>143</v>
      </c>
      <c r="E24" s="5" t="s">
        <v>186</v>
      </c>
      <c r="F24" s="5" t="s">
        <v>14</v>
      </c>
    </row>
  </sheetData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21"/>
  <sheetViews>
    <sheetView tabSelected="1" workbookViewId="0">
      <pane ySplit="4" topLeftCell="A5" activePane="bottomLeft" state="frozen"/>
      <selection activeCell="C18" sqref="C18"/>
      <selection pane="bottomLeft" activeCell="C18" sqref="C18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15" t="s">
        <v>122</v>
      </c>
      <c r="B1" s="10" t="s">
        <v>92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584</v>
      </c>
      <c r="B6" s="5" t="s">
        <v>131</v>
      </c>
      <c r="C6" s="5" t="s">
        <v>585</v>
      </c>
      <c r="D6" s="12" t="s">
        <v>607</v>
      </c>
      <c r="E6" s="5" t="s">
        <v>14</v>
      </c>
      <c r="F6" s="5" t="s">
        <v>134</v>
      </c>
    </row>
    <row r="7" spans="1:8" ht="15" customHeight="1">
      <c r="A7" s="5" t="s">
        <v>517</v>
      </c>
      <c r="B7" s="5" t="s">
        <v>209</v>
      </c>
      <c r="C7" s="5" t="s">
        <v>518</v>
      </c>
      <c r="D7" s="12" t="s">
        <v>143</v>
      </c>
      <c r="E7" s="5" t="s">
        <v>608</v>
      </c>
      <c r="F7" s="5" t="s">
        <v>134</v>
      </c>
    </row>
    <row r="8" spans="1:8" ht="15" customHeight="1">
      <c r="A8" s="5" t="s">
        <v>391</v>
      </c>
      <c r="B8" s="5" t="s">
        <v>173</v>
      </c>
      <c r="C8" s="5" t="s">
        <v>392</v>
      </c>
      <c r="D8" s="12" t="s">
        <v>143</v>
      </c>
      <c r="E8" s="5" t="s">
        <v>14</v>
      </c>
      <c r="F8" s="5" t="s">
        <v>14</v>
      </c>
    </row>
    <row r="9" spans="1:8" ht="15" customHeight="1">
      <c r="A9" s="5" t="s">
        <v>393</v>
      </c>
      <c r="B9" s="5" t="s">
        <v>141</v>
      </c>
      <c r="C9" s="5" t="s">
        <v>394</v>
      </c>
      <c r="D9" s="12" t="s">
        <v>143</v>
      </c>
      <c r="E9" s="5" t="s">
        <v>14</v>
      </c>
      <c r="F9" s="5" t="s">
        <v>14</v>
      </c>
    </row>
    <row r="10" spans="1:8" ht="15" customHeight="1">
      <c r="A10" s="5" t="s">
        <v>520</v>
      </c>
      <c r="B10" s="5" t="s">
        <v>148</v>
      </c>
      <c r="C10" s="5" t="s">
        <v>521</v>
      </c>
      <c r="D10" s="12" t="s">
        <v>14</v>
      </c>
      <c r="E10" s="5" t="s">
        <v>14</v>
      </c>
      <c r="F10" s="5" t="s">
        <v>14</v>
      </c>
    </row>
    <row r="11" spans="1:8" ht="15" customHeight="1">
      <c r="A11" s="5" t="s">
        <v>522</v>
      </c>
      <c r="B11" s="5" t="s">
        <v>404</v>
      </c>
      <c r="C11" s="5" t="s">
        <v>523</v>
      </c>
      <c r="D11" s="12" t="s">
        <v>143</v>
      </c>
      <c r="E11" s="5" t="s">
        <v>524</v>
      </c>
      <c r="F11" s="5" t="s">
        <v>14</v>
      </c>
    </row>
    <row r="12" spans="1:8" ht="15" customHeight="1">
      <c r="A12" s="5" t="s">
        <v>574</v>
      </c>
      <c r="B12" s="5" t="s">
        <v>404</v>
      </c>
      <c r="C12" s="5" t="s">
        <v>575</v>
      </c>
      <c r="D12" s="12" t="s">
        <v>143</v>
      </c>
      <c r="E12" s="5" t="s">
        <v>576</v>
      </c>
      <c r="F12" s="5" t="s">
        <v>14</v>
      </c>
    </row>
    <row r="13" spans="1:8" ht="15" customHeight="1">
      <c r="A13" s="5" t="s">
        <v>382</v>
      </c>
      <c r="B13" s="5" t="s">
        <v>383</v>
      </c>
      <c r="C13" s="5" t="s">
        <v>384</v>
      </c>
      <c r="D13" s="12" t="s">
        <v>143</v>
      </c>
      <c r="E13" s="5" t="s">
        <v>14</v>
      </c>
      <c r="F13" s="5" t="s">
        <v>14</v>
      </c>
    </row>
    <row r="14" spans="1:8" ht="15" customHeight="1">
      <c r="A14" s="5" t="s">
        <v>441</v>
      </c>
      <c r="B14" s="5" t="s">
        <v>148</v>
      </c>
      <c r="C14" s="5" t="s">
        <v>442</v>
      </c>
      <c r="D14" s="12" t="s">
        <v>14</v>
      </c>
      <c r="E14" s="5" t="s">
        <v>14</v>
      </c>
      <c r="F14" s="5" t="s">
        <v>14</v>
      </c>
    </row>
    <row r="15" spans="1:8" ht="15" customHeight="1">
      <c r="A15" s="5" t="s">
        <v>609</v>
      </c>
      <c r="B15" s="5" t="s">
        <v>181</v>
      </c>
      <c r="C15" s="5" t="s">
        <v>610</v>
      </c>
      <c r="D15" s="12" t="s">
        <v>14</v>
      </c>
      <c r="E15" s="5" t="s">
        <v>611</v>
      </c>
      <c r="F15" s="5" t="s">
        <v>14</v>
      </c>
    </row>
    <row r="16" spans="1:8" ht="15" customHeight="1">
      <c r="A16" s="5" t="s">
        <v>612</v>
      </c>
      <c r="B16" s="5" t="s">
        <v>404</v>
      </c>
      <c r="C16" s="5" t="s">
        <v>613</v>
      </c>
      <c r="D16" s="12" t="s">
        <v>143</v>
      </c>
      <c r="E16" s="5" t="s">
        <v>614</v>
      </c>
      <c r="F16" s="5" t="s">
        <v>14</v>
      </c>
    </row>
    <row r="17" spans="1:6" ht="15" customHeight="1">
      <c r="A17" s="5" t="s">
        <v>615</v>
      </c>
      <c r="B17" s="5" t="s">
        <v>404</v>
      </c>
      <c r="C17" s="5" t="s">
        <v>616</v>
      </c>
      <c r="D17" s="12" t="s">
        <v>143</v>
      </c>
      <c r="E17" s="5" t="s">
        <v>617</v>
      </c>
      <c r="F17" s="5" t="s">
        <v>14</v>
      </c>
    </row>
    <row r="18" spans="1:6" ht="15" customHeight="1">
      <c r="A18" s="5" t="s">
        <v>618</v>
      </c>
      <c r="B18" s="5" t="s">
        <v>131</v>
      </c>
      <c r="C18" s="5"/>
      <c r="D18" s="12" t="s">
        <v>619</v>
      </c>
      <c r="E18" s="5" t="s">
        <v>14</v>
      </c>
      <c r="F18" s="5" t="s">
        <v>14</v>
      </c>
    </row>
    <row r="20" spans="1:6">
      <c r="A20" s="9" t="s">
        <v>488</v>
      </c>
      <c r="B20" s="14" t="s">
        <v>620</v>
      </c>
      <c r="C20" s="14"/>
      <c r="D20" s="14"/>
      <c r="E20" s="14"/>
    </row>
    <row r="21" spans="1:6">
      <c r="A21" s="9" t="s">
        <v>266</v>
      </c>
      <c r="B21" s="14" t="s">
        <v>621</v>
      </c>
      <c r="C21" s="14"/>
      <c r="D21" s="14"/>
      <c r="E21" s="14"/>
    </row>
  </sheetData>
  <mergeCells count="2">
    <mergeCell ref="B20:E20"/>
    <mergeCell ref="B21:E21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21"/>
  <sheetViews>
    <sheetView tabSelected="1" workbookViewId="0">
      <pane ySplit="4" topLeftCell="A5" activePane="bottomLeft" state="frozen"/>
      <selection activeCell="C18" sqref="C18"/>
      <selection pane="bottomLeft" activeCell="C18" sqref="C18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15" t="s">
        <v>122</v>
      </c>
      <c r="B1" s="10" t="s">
        <v>96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189</v>
      </c>
      <c r="B6" s="5" t="s">
        <v>131</v>
      </c>
      <c r="C6" s="5" t="s">
        <v>190</v>
      </c>
      <c r="D6" s="12" t="s">
        <v>303</v>
      </c>
      <c r="E6" s="5" t="s">
        <v>14</v>
      </c>
      <c r="F6" s="5" t="s">
        <v>134</v>
      </c>
    </row>
    <row r="7" spans="1:8" ht="15" customHeight="1">
      <c r="A7" s="5" t="s">
        <v>584</v>
      </c>
      <c r="B7" s="5" t="s">
        <v>131</v>
      </c>
      <c r="C7" s="5" t="s">
        <v>585</v>
      </c>
      <c r="D7" s="12" t="s">
        <v>607</v>
      </c>
      <c r="E7" s="5" t="s">
        <v>14</v>
      </c>
      <c r="F7" s="5" t="s">
        <v>14</v>
      </c>
    </row>
    <row r="8" spans="1:8" ht="15" customHeight="1">
      <c r="A8" s="5" t="s">
        <v>622</v>
      </c>
      <c r="B8" s="5" t="s">
        <v>136</v>
      </c>
      <c r="C8" s="5" t="s">
        <v>623</v>
      </c>
      <c r="D8" s="12" t="s">
        <v>143</v>
      </c>
      <c r="E8" s="5" t="s">
        <v>14</v>
      </c>
      <c r="F8" s="5" t="s">
        <v>134</v>
      </c>
    </row>
    <row r="9" spans="1:8" ht="15" customHeight="1">
      <c r="A9" s="5" t="s">
        <v>609</v>
      </c>
      <c r="B9" s="5" t="s">
        <v>181</v>
      </c>
      <c r="C9" s="5" t="s">
        <v>610</v>
      </c>
      <c r="D9" s="12" t="s">
        <v>143</v>
      </c>
      <c r="E9" s="5" t="s">
        <v>14</v>
      </c>
      <c r="F9" s="5" t="s">
        <v>14</v>
      </c>
    </row>
    <row r="10" spans="1:8" ht="15" customHeight="1">
      <c r="A10" s="5" t="s">
        <v>624</v>
      </c>
      <c r="B10" s="5" t="s">
        <v>181</v>
      </c>
      <c r="C10" s="5" t="s">
        <v>625</v>
      </c>
      <c r="D10" s="12" t="s">
        <v>143</v>
      </c>
      <c r="E10" s="5" t="s">
        <v>14</v>
      </c>
      <c r="F10" s="5" t="s">
        <v>14</v>
      </c>
    </row>
    <row r="11" spans="1:8" ht="15" customHeight="1">
      <c r="A11" s="5" t="s">
        <v>626</v>
      </c>
      <c r="B11" s="5" t="s">
        <v>145</v>
      </c>
      <c r="C11" s="5" t="s">
        <v>627</v>
      </c>
      <c r="D11" s="12" t="s">
        <v>143</v>
      </c>
      <c r="E11" s="5" t="s">
        <v>14</v>
      </c>
      <c r="F11" s="5" t="s">
        <v>14</v>
      </c>
    </row>
    <row r="12" spans="1:8" ht="15" customHeight="1">
      <c r="A12" s="5" t="s">
        <v>628</v>
      </c>
      <c r="B12" s="5" t="s">
        <v>145</v>
      </c>
      <c r="C12" s="5" t="s">
        <v>629</v>
      </c>
      <c r="D12" s="12" t="s">
        <v>143</v>
      </c>
      <c r="E12" s="5" t="s">
        <v>14</v>
      </c>
      <c r="F12" s="5" t="s">
        <v>14</v>
      </c>
    </row>
    <row r="13" spans="1:8" ht="15" customHeight="1">
      <c r="A13" s="5" t="s">
        <v>630</v>
      </c>
      <c r="B13" s="5" t="s">
        <v>173</v>
      </c>
      <c r="C13" s="5" t="s">
        <v>631</v>
      </c>
      <c r="D13" s="12" t="s">
        <v>14</v>
      </c>
      <c r="E13" s="5" t="s">
        <v>14</v>
      </c>
      <c r="F13" s="5" t="s">
        <v>14</v>
      </c>
    </row>
    <row r="14" spans="1:8" ht="15" customHeight="1">
      <c r="A14" s="5" t="s">
        <v>632</v>
      </c>
      <c r="B14" s="5" t="s">
        <v>209</v>
      </c>
      <c r="C14" s="5" t="s">
        <v>633</v>
      </c>
      <c r="D14" s="12" t="s">
        <v>14</v>
      </c>
      <c r="E14" s="5" t="s">
        <v>14</v>
      </c>
      <c r="F14" s="5" t="s">
        <v>14</v>
      </c>
    </row>
    <row r="15" spans="1:8" ht="15" customHeight="1">
      <c r="A15" s="5" t="s">
        <v>634</v>
      </c>
      <c r="B15" s="5" t="s">
        <v>209</v>
      </c>
      <c r="C15" s="5" t="s">
        <v>635</v>
      </c>
      <c r="D15" s="12" t="s">
        <v>14</v>
      </c>
      <c r="E15" s="5" t="s">
        <v>14</v>
      </c>
      <c r="F15" s="5" t="s">
        <v>14</v>
      </c>
    </row>
    <row r="16" spans="1:8" ht="15" customHeight="1">
      <c r="A16" s="5" t="s">
        <v>636</v>
      </c>
      <c r="B16" s="5" t="s">
        <v>309</v>
      </c>
      <c r="C16" s="5" t="s">
        <v>637</v>
      </c>
      <c r="D16" s="12" t="s">
        <v>14</v>
      </c>
      <c r="E16" s="5" t="s">
        <v>14</v>
      </c>
      <c r="F16" s="5" t="s">
        <v>14</v>
      </c>
    </row>
    <row r="17" spans="1:6" ht="30" customHeight="1">
      <c r="A17" s="5" t="s">
        <v>245</v>
      </c>
      <c r="B17" s="5" t="s">
        <v>148</v>
      </c>
      <c r="C17" s="5" t="s">
        <v>246</v>
      </c>
      <c r="D17" s="12" t="s">
        <v>143</v>
      </c>
      <c r="E17" s="5" t="s">
        <v>638</v>
      </c>
      <c r="F17" s="5" t="s">
        <v>14</v>
      </c>
    </row>
    <row r="18" spans="1:6" ht="15" customHeight="1">
      <c r="A18" s="5" t="s">
        <v>639</v>
      </c>
      <c r="B18" s="5" t="s">
        <v>131</v>
      </c>
      <c r="C18" s="5"/>
      <c r="D18" s="12" t="s">
        <v>467</v>
      </c>
      <c r="E18" s="5" t="s">
        <v>14</v>
      </c>
      <c r="F18" s="5" t="s">
        <v>14</v>
      </c>
    </row>
    <row r="19" spans="1:6" ht="15" customHeight="1">
      <c r="A19" s="5" t="s">
        <v>568</v>
      </c>
      <c r="B19" s="5" t="s">
        <v>176</v>
      </c>
      <c r="C19" s="5" t="s">
        <v>569</v>
      </c>
      <c r="D19" s="12" t="s">
        <v>143</v>
      </c>
      <c r="E19" s="5" t="s">
        <v>186</v>
      </c>
      <c r="F19" s="5" t="s">
        <v>14</v>
      </c>
    </row>
    <row r="21" spans="1:6">
      <c r="A21" s="9" t="s">
        <v>488</v>
      </c>
      <c r="B21" s="14" t="s">
        <v>640</v>
      </c>
      <c r="C21" s="14"/>
      <c r="D21" s="14"/>
      <c r="E21" s="14"/>
    </row>
  </sheetData>
  <mergeCells count="1">
    <mergeCell ref="B21:E21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1"/>
  <sheetViews>
    <sheetView tabSelected="1" workbookViewId="0">
      <pane ySplit="4" topLeftCell="A5" activePane="bottomLeft" state="frozen"/>
      <selection activeCell="C18" sqref="C18"/>
      <selection pane="bottomLeft" activeCell="C18" sqref="C18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15" t="s">
        <v>122</v>
      </c>
      <c r="B1" s="10" t="s">
        <v>99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641</v>
      </c>
      <c r="B6" s="5" t="s">
        <v>131</v>
      </c>
      <c r="C6" s="5" t="s">
        <v>642</v>
      </c>
      <c r="D6" s="12" t="s">
        <v>643</v>
      </c>
      <c r="E6" s="5" t="s">
        <v>14</v>
      </c>
      <c r="F6" s="5" t="s">
        <v>134</v>
      </c>
    </row>
    <row r="7" spans="1:8" ht="15" customHeight="1">
      <c r="A7" s="5" t="s">
        <v>644</v>
      </c>
      <c r="B7" s="5" t="s">
        <v>131</v>
      </c>
      <c r="C7" s="5" t="s">
        <v>645</v>
      </c>
      <c r="D7" s="12" t="s">
        <v>646</v>
      </c>
      <c r="E7" s="5" t="s">
        <v>14</v>
      </c>
      <c r="F7" s="5" t="s">
        <v>134</v>
      </c>
    </row>
    <row r="8" spans="1:8" ht="15" customHeight="1">
      <c r="A8" s="5" t="s">
        <v>612</v>
      </c>
      <c r="B8" s="5" t="s">
        <v>404</v>
      </c>
      <c r="C8" s="5" t="s">
        <v>613</v>
      </c>
      <c r="D8" s="12" t="s">
        <v>143</v>
      </c>
      <c r="E8" s="5" t="s">
        <v>647</v>
      </c>
      <c r="F8" s="5" t="s">
        <v>14</v>
      </c>
    </row>
    <row r="9" spans="1:8" ht="15" customHeight="1">
      <c r="A9" s="5" t="s">
        <v>648</v>
      </c>
      <c r="B9" s="5" t="s">
        <v>173</v>
      </c>
      <c r="C9" s="5" t="s">
        <v>649</v>
      </c>
      <c r="D9" s="12" t="s">
        <v>14</v>
      </c>
      <c r="E9" s="5" t="s">
        <v>14</v>
      </c>
      <c r="F9" s="5" t="s">
        <v>14</v>
      </c>
    </row>
    <row r="11" spans="1:8">
      <c r="A11" s="9" t="s">
        <v>488</v>
      </c>
      <c r="B11" s="14" t="s">
        <v>650</v>
      </c>
      <c r="C11" s="14"/>
      <c r="D11" s="14"/>
      <c r="E11" s="14"/>
    </row>
  </sheetData>
  <mergeCells count="1">
    <mergeCell ref="B11:E11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6"/>
  <sheetViews>
    <sheetView tabSelected="1" workbookViewId="0">
      <pane ySplit="4" topLeftCell="A5" activePane="bottomLeft" state="frozen"/>
      <selection activeCell="C18" sqref="C18"/>
      <selection pane="bottomLeft" activeCell="C18" sqref="C18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15" t="s">
        <v>122</v>
      </c>
      <c r="B1" s="10" t="s">
        <v>102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189</v>
      </c>
      <c r="B6" s="5" t="s">
        <v>131</v>
      </c>
      <c r="C6" s="5" t="s">
        <v>190</v>
      </c>
      <c r="D6" s="12" t="s">
        <v>303</v>
      </c>
      <c r="E6" s="5" t="s">
        <v>14</v>
      </c>
      <c r="F6" s="5" t="s">
        <v>14</v>
      </c>
    </row>
    <row r="7" spans="1:8" ht="15" customHeight="1">
      <c r="A7" s="5" t="s">
        <v>641</v>
      </c>
      <c r="B7" s="5" t="s">
        <v>131</v>
      </c>
      <c r="C7" s="5" t="s">
        <v>642</v>
      </c>
      <c r="D7" s="12" t="s">
        <v>651</v>
      </c>
      <c r="E7" s="5" t="s">
        <v>14</v>
      </c>
      <c r="F7" s="5" t="s">
        <v>134</v>
      </c>
    </row>
    <row r="8" spans="1:8" ht="15" customHeight="1">
      <c r="A8" s="5" t="s">
        <v>584</v>
      </c>
      <c r="B8" s="5" t="s">
        <v>131</v>
      </c>
      <c r="C8" s="5" t="s">
        <v>585</v>
      </c>
      <c r="D8" s="12" t="s">
        <v>607</v>
      </c>
      <c r="E8" s="5" t="s">
        <v>14</v>
      </c>
      <c r="F8" s="5" t="s">
        <v>14</v>
      </c>
    </row>
    <row r="9" spans="1:8" ht="15" customHeight="1">
      <c r="A9" s="5" t="s">
        <v>652</v>
      </c>
      <c r="B9" s="5" t="s">
        <v>209</v>
      </c>
      <c r="C9" s="5" t="s">
        <v>653</v>
      </c>
      <c r="D9" s="12" t="s">
        <v>14</v>
      </c>
      <c r="E9" s="5" t="s">
        <v>654</v>
      </c>
      <c r="F9" s="5" t="s">
        <v>14</v>
      </c>
    </row>
    <row r="10" spans="1:8" ht="15" customHeight="1">
      <c r="A10" s="5" t="s">
        <v>496</v>
      </c>
      <c r="B10" s="5" t="s">
        <v>209</v>
      </c>
      <c r="C10" s="5" t="s">
        <v>497</v>
      </c>
      <c r="D10" s="12" t="s">
        <v>14</v>
      </c>
      <c r="E10" s="5" t="s">
        <v>655</v>
      </c>
      <c r="F10" s="5" t="s">
        <v>14</v>
      </c>
    </row>
    <row r="11" spans="1:8" ht="15" customHeight="1">
      <c r="A11" s="5" t="s">
        <v>498</v>
      </c>
      <c r="B11" s="5" t="s">
        <v>209</v>
      </c>
      <c r="C11" s="5" t="s">
        <v>499</v>
      </c>
      <c r="D11" s="12" t="s">
        <v>14</v>
      </c>
      <c r="E11" s="5" t="s">
        <v>14</v>
      </c>
      <c r="F11" s="5" t="s">
        <v>14</v>
      </c>
    </row>
    <row r="12" spans="1:8" ht="30" customHeight="1">
      <c r="A12" s="5" t="s">
        <v>245</v>
      </c>
      <c r="B12" s="5" t="s">
        <v>148</v>
      </c>
      <c r="C12" s="5" t="s">
        <v>246</v>
      </c>
      <c r="D12" s="12" t="s">
        <v>143</v>
      </c>
      <c r="E12" s="5" t="s">
        <v>656</v>
      </c>
      <c r="F12" s="5" t="s">
        <v>14</v>
      </c>
    </row>
    <row r="13" spans="1:8" ht="15" customHeight="1">
      <c r="A13" s="5" t="s">
        <v>657</v>
      </c>
      <c r="B13" s="5" t="s">
        <v>181</v>
      </c>
      <c r="C13" s="5" t="s">
        <v>658</v>
      </c>
      <c r="D13" s="12" t="s">
        <v>14</v>
      </c>
      <c r="E13" s="5" t="s">
        <v>14</v>
      </c>
      <c r="F13" s="5" t="s">
        <v>14</v>
      </c>
    </row>
    <row r="14" spans="1:8" ht="15" customHeight="1">
      <c r="A14" s="5" t="s">
        <v>659</v>
      </c>
      <c r="B14" s="5" t="s">
        <v>131</v>
      </c>
      <c r="C14" s="5" t="s">
        <v>660</v>
      </c>
      <c r="D14" s="12" t="s">
        <v>467</v>
      </c>
      <c r="E14" s="5" t="s">
        <v>14</v>
      </c>
      <c r="F14" s="5" t="s">
        <v>14</v>
      </c>
    </row>
    <row r="15" spans="1:8" ht="15" customHeight="1">
      <c r="A15" s="5" t="s">
        <v>661</v>
      </c>
      <c r="B15" s="5" t="s">
        <v>176</v>
      </c>
      <c r="C15" s="5" t="s">
        <v>662</v>
      </c>
      <c r="D15" s="12" t="s">
        <v>14</v>
      </c>
      <c r="E15" s="5" t="s">
        <v>14</v>
      </c>
      <c r="F15" s="5" t="s">
        <v>14</v>
      </c>
    </row>
    <row r="16" spans="1:8" ht="15" customHeight="1">
      <c r="A16" s="5" t="s">
        <v>184</v>
      </c>
      <c r="B16" s="5" t="s">
        <v>176</v>
      </c>
      <c r="C16" s="5" t="s">
        <v>185</v>
      </c>
      <c r="D16" s="12" t="s">
        <v>143</v>
      </c>
      <c r="E16" s="5" t="s">
        <v>186</v>
      </c>
      <c r="F16" s="5" t="s">
        <v>14</v>
      </c>
    </row>
  </sheetData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3"/>
  <sheetViews>
    <sheetView tabSelected="1" workbookViewId="0">
      <pane ySplit="4" topLeftCell="A5" activePane="bottomLeft" state="frozen"/>
      <selection activeCell="C18" sqref="C18"/>
      <selection pane="bottomLeft" activeCell="C18" sqref="C18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15" t="s">
        <v>122</v>
      </c>
      <c r="B1" s="10" t="s">
        <v>106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663</v>
      </c>
      <c r="B6" s="5" t="s">
        <v>131</v>
      </c>
      <c r="C6" s="5" t="s">
        <v>664</v>
      </c>
      <c r="D6" s="12" t="s">
        <v>665</v>
      </c>
      <c r="E6" s="5" t="s">
        <v>14</v>
      </c>
      <c r="F6" s="5" t="s">
        <v>134</v>
      </c>
    </row>
    <row r="7" spans="1:8" ht="15" customHeight="1">
      <c r="A7" s="5" t="s">
        <v>644</v>
      </c>
      <c r="B7" s="5" t="s">
        <v>131</v>
      </c>
      <c r="C7" s="5" t="s">
        <v>645</v>
      </c>
      <c r="D7" s="12" t="s">
        <v>646</v>
      </c>
      <c r="E7" s="5" t="s">
        <v>14</v>
      </c>
      <c r="F7" s="5" t="s">
        <v>134</v>
      </c>
    </row>
    <row r="8" spans="1:8" ht="15" customHeight="1">
      <c r="A8" s="5" t="s">
        <v>666</v>
      </c>
      <c r="B8" s="5" t="s">
        <v>404</v>
      </c>
      <c r="C8" s="5" t="s">
        <v>667</v>
      </c>
      <c r="D8" s="12" t="s">
        <v>143</v>
      </c>
      <c r="E8" s="5" t="s">
        <v>14</v>
      </c>
      <c r="F8" s="5" t="s">
        <v>14</v>
      </c>
    </row>
    <row r="9" spans="1:8" ht="15" customHeight="1">
      <c r="A9" s="5" t="s">
        <v>615</v>
      </c>
      <c r="B9" s="5" t="s">
        <v>404</v>
      </c>
      <c r="C9" s="5" t="s">
        <v>616</v>
      </c>
      <c r="D9" s="12" t="s">
        <v>143</v>
      </c>
      <c r="E9" s="5" t="s">
        <v>668</v>
      </c>
      <c r="F9" s="5" t="s">
        <v>14</v>
      </c>
    </row>
    <row r="10" spans="1:8" ht="15" customHeight="1">
      <c r="A10" s="5" t="s">
        <v>669</v>
      </c>
      <c r="B10" s="5" t="s">
        <v>404</v>
      </c>
      <c r="C10" s="5" t="s">
        <v>670</v>
      </c>
      <c r="D10" s="12" t="s">
        <v>143</v>
      </c>
      <c r="E10" s="5" t="s">
        <v>671</v>
      </c>
      <c r="F10" s="5" t="s">
        <v>14</v>
      </c>
    </row>
    <row r="11" spans="1:8" ht="15" customHeight="1">
      <c r="A11" s="5" t="s">
        <v>382</v>
      </c>
      <c r="B11" s="5" t="s">
        <v>383</v>
      </c>
      <c r="C11" s="5" t="s">
        <v>384</v>
      </c>
      <c r="D11" s="12" t="s">
        <v>143</v>
      </c>
      <c r="E11" s="5" t="s">
        <v>14</v>
      </c>
      <c r="F11" s="5" t="s">
        <v>14</v>
      </c>
    </row>
    <row r="13" spans="1:8">
      <c r="A13" s="9" t="s">
        <v>488</v>
      </c>
      <c r="B13" s="14" t="s">
        <v>672</v>
      </c>
      <c r="C13" s="14"/>
      <c r="D13" s="14"/>
      <c r="E13" s="14"/>
    </row>
  </sheetData>
  <mergeCells count="1">
    <mergeCell ref="B13:E13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4"/>
  <sheetViews>
    <sheetView tabSelected="1" workbookViewId="0">
      <pane ySplit="4" topLeftCell="A5" activePane="bottomLeft" state="frozen"/>
      <selection activeCell="C18" sqref="C18"/>
      <selection pane="bottomLeft" activeCell="C18" sqref="C18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15" t="s">
        <v>122</v>
      </c>
      <c r="B1" s="10" t="s">
        <v>109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189</v>
      </c>
      <c r="B5" s="5" t="s">
        <v>131</v>
      </c>
      <c r="C5" s="5" t="s">
        <v>190</v>
      </c>
      <c r="D5" s="12" t="s">
        <v>303</v>
      </c>
      <c r="E5" s="5" t="s">
        <v>14</v>
      </c>
      <c r="F5" s="5" t="s">
        <v>14</v>
      </c>
    </row>
    <row r="6" spans="1:8" ht="15" customHeight="1">
      <c r="A6" s="5" t="s">
        <v>248</v>
      </c>
      <c r="B6" s="5" t="s">
        <v>131</v>
      </c>
      <c r="C6" s="5" t="s">
        <v>249</v>
      </c>
      <c r="D6" s="12" t="s">
        <v>555</v>
      </c>
      <c r="E6" s="5" t="s">
        <v>14</v>
      </c>
      <c r="F6" s="5" t="s">
        <v>134</v>
      </c>
    </row>
    <row r="7" spans="1:8" ht="15" customHeight="1">
      <c r="A7" s="5" t="s">
        <v>673</v>
      </c>
      <c r="B7" s="5" t="s">
        <v>181</v>
      </c>
      <c r="C7" s="5" t="s">
        <v>674</v>
      </c>
      <c r="D7" s="12" t="s">
        <v>368</v>
      </c>
      <c r="E7" s="5" t="s">
        <v>675</v>
      </c>
      <c r="F7" s="5" t="s">
        <v>134</v>
      </c>
    </row>
    <row r="8" spans="1:8" ht="15" customHeight="1">
      <c r="A8" s="5" t="s">
        <v>676</v>
      </c>
      <c r="B8" s="5" t="s">
        <v>677</v>
      </c>
      <c r="C8" s="5" t="s">
        <v>678</v>
      </c>
      <c r="D8" s="12" t="s">
        <v>14</v>
      </c>
      <c r="E8" s="5" t="s">
        <v>14</v>
      </c>
      <c r="F8" s="5" t="s">
        <v>14</v>
      </c>
    </row>
    <row r="9" spans="1:8" ht="15" customHeight="1">
      <c r="A9" s="5" t="s">
        <v>679</v>
      </c>
      <c r="B9" s="5" t="s">
        <v>677</v>
      </c>
      <c r="C9" s="5" t="s">
        <v>680</v>
      </c>
      <c r="D9" s="12" t="s">
        <v>14</v>
      </c>
      <c r="E9" s="5" t="s">
        <v>14</v>
      </c>
      <c r="F9" s="5" t="s">
        <v>14</v>
      </c>
    </row>
    <row r="10" spans="1:8" ht="15" customHeight="1">
      <c r="A10" s="5" t="s">
        <v>681</v>
      </c>
      <c r="B10" s="5" t="s">
        <v>682</v>
      </c>
      <c r="C10" s="5" t="s">
        <v>683</v>
      </c>
      <c r="D10" s="12" t="s">
        <v>14</v>
      </c>
      <c r="E10" s="5" t="s">
        <v>14</v>
      </c>
      <c r="F10" s="5" t="s">
        <v>14</v>
      </c>
    </row>
    <row r="11" spans="1:8" ht="15" customHeight="1">
      <c r="A11" s="5" t="s">
        <v>684</v>
      </c>
      <c r="B11" s="5" t="s">
        <v>209</v>
      </c>
      <c r="C11" s="5" t="s">
        <v>685</v>
      </c>
      <c r="D11" s="12" t="s">
        <v>143</v>
      </c>
      <c r="E11" s="5" t="s">
        <v>412</v>
      </c>
      <c r="F11" s="5" t="s">
        <v>14</v>
      </c>
    </row>
    <row r="12" spans="1:8" ht="15" customHeight="1">
      <c r="A12" s="5" t="s">
        <v>686</v>
      </c>
      <c r="B12" s="5" t="s">
        <v>176</v>
      </c>
      <c r="C12" s="5" t="s">
        <v>687</v>
      </c>
      <c r="D12" s="12" t="s">
        <v>143</v>
      </c>
      <c r="E12" s="5" t="s">
        <v>186</v>
      </c>
      <c r="F12" s="5" t="s">
        <v>14</v>
      </c>
    </row>
    <row r="14" spans="1:8">
      <c r="A14" s="9" t="s">
        <v>370</v>
      </c>
      <c r="B14" s="14" t="s">
        <v>688</v>
      </c>
      <c r="C14" s="14"/>
      <c r="D14" s="14"/>
      <c r="E14" s="14"/>
    </row>
  </sheetData>
  <mergeCells count="1">
    <mergeCell ref="B14:E14"/>
  </mergeCells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3"/>
  <sheetViews>
    <sheetView tabSelected="1" workbookViewId="0">
      <pane ySplit="4" topLeftCell="A5" activePane="bottomLeft" state="frozen"/>
      <selection activeCell="C18" sqref="C18"/>
      <selection pane="bottomLeft" activeCell="C18" sqref="C18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15" t="s">
        <v>122</v>
      </c>
      <c r="B1" s="10" t="s">
        <v>112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189</v>
      </c>
      <c r="B6" s="5" t="s">
        <v>131</v>
      </c>
      <c r="C6" s="5" t="s">
        <v>190</v>
      </c>
      <c r="D6" s="12" t="s">
        <v>303</v>
      </c>
      <c r="E6" s="5" t="s">
        <v>14</v>
      </c>
      <c r="F6" s="5" t="s">
        <v>235</v>
      </c>
    </row>
    <row r="7" spans="1:8" ht="30" customHeight="1">
      <c r="A7" s="5" t="s">
        <v>689</v>
      </c>
      <c r="B7" s="5" t="s">
        <v>136</v>
      </c>
      <c r="C7" s="5" t="s">
        <v>690</v>
      </c>
      <c r="D7" s="12" t="s">
        <v>143</v>
      </c>
      <c r="E7" s="5" t="s">
        <v>691</v>
      </c>
      <c r="F7" s="5" t="s">
        <v>14</v>
      </c>
    </row>
    <row r="8" spans="1:8" ht="15" customHeight="1">
      <c r="A8" s="5" t="s">
        <v>692</v>
      </c>
      <c r="B8" s="5" t="s">
        <v>213</v>
      </c>
      <c r="C8" s="5" t="s">
        <v>693</v>
      </c>
      <c r="D8" s="12" t="s">
        <v>143</v>
      </c>
      <c r="E8" s="5" t="s">
        <v>694</v>
      </c>
      <c r="F8" s="5" t="s">
        <v>14</v>
      </c>
    </row>
    <row r="9" spans="1:8" ht="15" customHeight="1">
      <c r="A9" s="5" t="s">
        <v>245</v>
      </c>
      <c r="B9" s="5" t="s">
        <v>213</v>
      </c>
      <c r="C9" s="5" t="s">
        <v>246</v>
      </c>
      <c r="D9" s="12" t="s">
        <v>143</v>
      </c>
      <c r="E9" s="5" t="s">
        <v>695</v>
      </c>
      <c r="F9" s="5" t="s">
        <v>14</v>
      </c>
    </row>
    <row r="10" spans="1:8" ht="15" customHeight="1">
      <c r="A10" s="5" t="s">
        <v>696</v>
      </c>
      <c r="B10" s="5" t="s">
        <v>209</v>
      </c>
      <c r="C10" s="5" t="s">
        <v>697</v>
      </c>
      <c r="D10" s="12" t="s">
        <v>143</v>
      </c>
      <c r="E10" s="5" t="s">
        <v>412</v>
      </c>
      <c r="F10" s="5" t="s">
        <v>14</v>
      </c>
    </row>
    <row r="11" spans="1:8" ht="15" customHeight="1">
      <c r="A11" s="5" t="s">
        <v>698</v>
      </c>
      <c r="B11" s="5" t="s">
        <v>159</v>
      </c>
      <c r="C11" s="5" t="s">
        <v>699</v>
      </c>
      <c r="D11" s="12" t="s">
        <v>14</v>
      </c>
      <c r="E11" s="5" t="s">
        <v>14</v>
      </c>
      <c r="F11" s="5" t="s">
        <v>14</v>
      </c>
    </row>
    <row r="12" spans="1:8" ht="15" customHeight="1">
      <c r="A12" s="5" t="s">
        <v>700</v>
      </c>
      <c r="B12" s="5" t="s">
        <v>176</v>
      </c>
      <c r="C12" s="5" t="s">
        <v>701</v>
      </c>
      <c r="D12" s="12" t="s">
        <v>143</v>
      </c>
      <c r="E12" s="5" t="s">
        <v>186</v>
      </c>
      <c r="F12" s="5" t="s">
        <v>235</v>
      </c>
    </row>
    <row r="13" spans="1:8" ht="15" customHeight="1">
      <c r="A13" s="5" t="s">
        <v>702</v>
      </c>
      <c r="B13" s="5" t="s">
        <v>176</v>
      </c>
      <c r="C13" s="5" t="s">
        <v>703</v>
      </c>
      <c r="D13" s="12" t="s">
        <v>14</v>
      </c>
      <c r="E13" s="5" t="s">
        <v>14</v>
      </c>
      <c r="F13" s="5" t="s">
        <v>14</v>
      </c>
    </row>
  </sheetData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22"/>
  <sheetViews>
    <sheetView tabSelected="1" workbookViewId="0">
      <pane ySplit="4" topLeftCell="A5" activePane="bottomLeft" state="frozen"/>
      <selection activeCell="C18" sqref="C18"/>
      <selection pane="bottomLeft" activeCell="C18" sqref="C18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15" t="s">
        <v>122</v>
      </c>
      <c r="B1" s="10" t="s">
        <v>115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189</v>
      </c>
      <c r="B6" s="5" t="s">
        <v>131</v>
      </c>
      <c r="C6" s="5" t="s">
        <v>190</v>
      </c>
      <c r="D6" s="12" t="s">
        <v>303</v>
      </c>
      <c r="E6" s="5" t="s">
        <v>14</v>
      </c>
      <c r="F6" s="5" t="s">
        <v>14</v>
      </c>
    </row>
    <row r="7" spans="1:8" ht="30" customHeight="1">
      <c r="A7" s="5" t="s">
        <v>704</v>
      </c>
      <c r="B7" s="5" t="s">
        <v>136</v>
      </c>
      <c r="C7" s="5" t="s">
        <v>705</v>
      </c>
      <c r="D7" s="12" t="s">
        <v>143</v>
      </c>
      <c r="E7" s="5" t="s">
        <v>706</v>
      </c>
      <c r="F7" s="5" t="s">
        <v>14</v>
      </c>
    </row>
    <row r="8" spans="1:8" ht="15" customHeight="1">
      <c r="A8" s="5" t="s">
        <v>707</v>
      </c>
      <c r="B8" s="5" t="s">
        <v>136</v>
      </c>
      <c r="C8" s="5" t="s">
        <v>708</v>
      </c>
      <c r="D8" s="12" t="s">
        <v>143</v>
      </c>
      <c r="E8" s="5" t="s">
        <v>709</v>
      </c>
      <c r="F8" s="5" t="s">
        <v>235</v>
      </c>
    </row>
    <row r="9" spans="1:8" ht="15" customHeight="1">
      <c r="A9" s="5" t="s">
        <v>710</v>
      </c>
      <c r="B9" s="5" t="s">
        <v>131</v>
      </c>
      <c r="C9" s="5" t="s">
        <v>711</v>
      </c>
      <c r="D9" s="12" t="s">
        <v>143</v>
      </c>
      <c r="E9" s="5" t="s">
        <v>14</v>
      </c>
      <c r="F9" s="5" t="s">
        <v>235</v>
      </c>
    </row>
    <row r="10" spans="1:8" ht="30" customHeight="1">
      <c r="A10" s="5" t="s">
        <v>712</v>
      </c>
      <c r="B10" s="5" t="s">
        <v>713</v>
      </c>
      <c r="C10" s="5" t="s">
        <v>714</v>
      </c>
      <c r="D10" s="12" t="s">
        <v>143</v>
      </c>
      <c r="E10" s="5" t="s">
        <v>715</v>
      </c>
      <c r="F10" s="5" t="s">
        <v>14</v>
      </c>
    </row>
    <row r="11" spans="1:8" ht="15" customHeight="1">
      <c r="A11" s="5" t="s">
        <v>716</v>
      </c>
      <c r="B11" s="5" t="s">
        <v>717</v>
      </c>
      <c r="C11" s="5" t="s">
        <v>718</v>
      </c>
      <c r="D11" s="12" t="s">
        <v>14</v>
      </c>
      <c r="E11" s="5" t="s">
        <v>719</v>
      </c>
      <c r="F11" s="5" t="s">
        <v>14</v>
      </c>
    </row>
    <row r="12" spans="1:8" ht="15" customHeight="1">
      <c r="A12" s="5" t="s">
        <v>720</v>
      </c>
      <c r="B12" s="5" t="s">
        <v>717</v>
      </c>
      <c r="C12" s="5" t="s">
        <v>721</v>
      </c>
      <c r="D12" s="12" t="s">
        <v>14</v>
      </c>
      <c r="E12" s="5" t="s">
        <v>14</v>
      </c>
      <c r="F12" s="5" t="s">
        <v>14</v>
      </c>
    </row>
    <row r="13" spans="1:8" ht="30" customHeight="1">
      <c r="A13" s="5" t="s">
        <v>245</v>
      </c>
      <c r="B13" s="5" t="s">
        <v>213</v>
      </c>
      <c r="C13" s="5" t="s">
        <v>246</v>
      </c>
      <c r="D13" s="12" t="s">
        <v>143</v>
      </c>
      <c r="E13" s="5" t="s">
        <v>722</v>
      </c>
      <c r="F13" s="5" t="s">
        <v>235</v>
      </c>
    </row>
    <row r="14" spans="1:8" ht="15" customHeight="1">
      <c r="A14" s="5" t="s">
        <v>723</v>
      </c>
      <c r="B14" s="5" t="s">
        <v>209</v>
      </c>
      <c r="C14" s="5" t="s">
        <v>724</v>
      </c>
      <c r="D14" s="12" t="s">
        <v>143</v>
      </c>
      <c r="E14" s="5" t="s">
        <v>412</v>
      </c>
      <c r="F14" s="5" t="s">
        <v>14</v>
      </c>
    </row>
    <row r="15" spans="1:8" ht="15" customHeight="1">
      <c r="A15" s="5" t="s">
        <v>725</v>
      </c>
      <c r="B15" s="5" t="s">
        <v>209</v>
      </c>
      <c r="C15" s="5" t="s">
        <v>726</v>
      </c>
      <c r="D15" s="12" t="s">
        <v>143</v>
      </c>
      <c r="E15" s="5" t="s">
        <v>727</v>
      </c>
      <c r="F15" s="5" t="s">
        <v>14</v>
      </c>
    </row>
    <row r="16" spans="1:8" ht="15" customHeight="1">
      <c r="A16" s="5" t="s">
        <v>728</v>
      </c>
      <c r="B16" s="5" t="s">
        <v>176</v>
      </c>
      <c r="C16" s="5" t="s">
        <v>729</v>
      </c>
      <c r="D16" s="12" t="s">
        <v>143</v>
      </c>
      <c r="E16" s="5" t="s">
        <v>186</v>
      </c>
      <c r="F16" s="5" t="s">
        <v>235</v>
      </c>
    </row>
    <row r="17" spans="1:6" ht="15" customHeight="1">
      <c r="A17" s="5" t="s">
        <v>496</v>
      </c>
      <c r="B17" s="5" t="s">
        <v>209</v>
      </c>
      <c r="C17" s="5" t="s">
        <v>497</v>
      </c>
      <c r="D17" s="12" t="s">
        <v>14</v>
      </c>
      <c r="E17" s="5" t="s">
        <v>14</v>
      </c>
      <c r="F17" s="5" t="s">
        <v>14</v>
      </c>
    </row>
    <row r="18" spans="1:6" ht="15" customHeight="1">
      <c r="A18" s="5" t="s">
        <v>730</v>
      </c>
      <c r="B18" s="5" t="s">
        <v>173</v>
      </c>
      <c r="C18" s="5"/>
      <c r="D18" s="12" t="s">
        <v>14</v>
      </c>
      <c r="E18" s="5" t="s">
        <v>731</v>
      </c>
      <c r="F18" s="5" t="s">
        <v>14</v>
      </c>
    </row>
    <row r="19" spans="1:6" ht="15" customHeight="1">
      <c r="A19" s="5" t="s">
        <v>698</v>
      </c>
      <c r="B19" s="5" t="s">
        <v>159</v>
      </c>
      <c r="C19" s="5" t="s">
        <v>699</v>
      </c>
      <c r="D19" s="12" t="s">
        <v>14</v>
      </c>
      <c r="E19" s="5" t="s">
        <v>14</v>
      </c>
      <c r="F19" s="5" t="s">
        <v>14</v>
      </c>
    </row>
    <row r="20" spans="1:6" ht="15" customHeight="1">
      <c r="A20" s="5" t="s">
        <v>732</v>
      </c>
      <c r="B20" s="5" t="s">
        <v>131</v>
      </c>
      <c r="C20" s="5" t="s">
        <v>733</v>
      </c>
      <c r="D20" s="12" t="s">
        <v>467</v>
      </c>
      <c r="E20" s="5" t="s">
        <v>14</v>
      </c>
      <c r="F20" s="5" t="s">
        <v>14</v>
      </c>
    </row>
    <row r="21" spans="1:6" ht="15" customHeight="1">
      <c r="A21" s="5" t="s">
        <v>184</v>
      </c>
      <c r="B21" s="5" t="s">
        <v>176</v>
      </c>
      <c r="C21" s="5" t="s">
        <v>185</v>
      </c>
      <c r="D21" s="12" t="s">
        <v>143</v>
      </c>
      <c r="E21" s="5" t="s">
        <v>186</v>
      </c>
      <c r="F21" s="5" t="s">
        <v>14</v>
      </c>
    </row>
    <row r="22" spans="1:6" ht="15" customHeight="1">
      <c r="A22" s="5" t="s">
        <v>734</v>
      </c>
      <c r="B22" s="5" t="s">
        <v>176</v>
      </c>
      <c r="C22" s="5" t="s">
        <v>735</v>
      </c>
      <c r="D22" s="12" t="s">
        <v>14</v>
      </c>
      <c r="E22" s="5" t="s">
        <v>14</v>
      </c>
      <c r="F22" s="5" t="s">
        <v>14</v>
      </c>
    </row>
  </sheetData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H10"/>
  <sheetViews>
    <sheetView tabSelected="1" workbookViewId="0">
      <pane ySplit="4" topLeftCell="A5" activePane="bottomLeft" state="frozen"/>
      <selection activeCell="C18" sqref="C18"/>
      <selection pane="bottomLeft" activeCell="C18" sqref="C18"/>
    </sheetView>
  </sheetViews>
  <sheetFormatPr defaultRowHeight="15"/>
  <cols>
    <col min="1" max="1" width="26" customWidth="1"/>
    <col min="2" max="2" width="18" customWidth="1"/>
    <col min="3" max="3" width="36" customWidth="1"/>
    <col min="4" max="4" width="52" customWidth="1"/>
    <col min="5" max="5" width="56" customWidth="1"/>
    <col min="6" max="6" width="14" customWidth="1"/>
  </cols>
  <sheetData>
    <row r="1" spans="1:8">
      <c r="A1" s="15" t="s">
        <v>122</v>
      </c>
      <c r="B1" s="10" t="s">
        <v>283</v>
      </c>
      <c r="H1" s="11" t="s">
        <v>123</v>
      </c>
    </row>
    <row r="2" spans="1:8">
      <c r="A2" s="9" t="s">
        <v>4</v>
      </c>
      <c r="B2" s="16" t="s">
        <v>302</v>
      </c>
    </row>
    <row r="4" spans="1:8">
      <c r="A4" s="2" t="s">
        <v>124</v>
      </c>
      <c r="B4" s="2" t="s">
        <v>125</v>
      </c>
      <c r="C4" s="2" t="s">
        <v>126</v>
      </c>
      <c r="D4" s="2" t="s">
        <v>127</v>
      </c>
      <c r="E4" s="2" t="s">
        <v>128</v>
      </c>
      <c r="F4" s="2" t="s">
        <v>129</v>
      </c>
    </row>
    <row r="5" spans="1:8" ht="15" customHeight="1">
      <c r="A5" s="5" t="s">
        <v>130</v>
      </c>
      <c r="B5" s="5" t="s">
        <v>131</v>
      </c>
      <c r="C5" s="5" t="s">
        <v>132</v>
      </c>
      <c r="D5" s="12" t="s">
        <v>133</v>
      </c>
      <c r="E5" s="5" t="s">
        <v>14</v>
      </c>
      <c r="F5" s="5" t="s">
        <v>134</v>
      </c>
    </row>
    <row r="6" spans="1:8" ht="15" customHeight="1">
      <c r="A6" s="5" t="s">
        <v>269</v>
      </c>
      <c r="B6" s="5" t="s">
        <v>131</v>
      </c>
      <c r="C6" s="5" t="s">
        <v>270</v>
      </c>
      <c r="D6" s="12" t="s">
        <v>736</v>
      </c>
      <c r="E6" s="5" t="s">
        <v>14</v>
      </c>
      <c r="F6" s="5" t="s">
        <v>235</v>
      </c>
    </row>
    <row r="7" spans="1:8" ht="15" customHeight="1">
      <c r="A7" s="5" t="s">
        <v>242</v>
      </c>
      <c r="B7" s="5" t="s">
        <v>148</v>
      </c>
      <c r="C7" s="5" t="s">
        <v>243</v>
      </c>
      <c r="D7" s="12" t="s">
        <v>14</v>
      </c>
      <c r="E7" s="5" t="s">
        <v>14</v>
      </c>
      <c r="F7" s="5" t="s">
        <v>14</v>
      </c>
    </row>
    <row r="8" spans="1:8" ht="15" customHeight="1">
      <c r="A8" s="5" t="s">
        <v>285</v>
      </c>
      <c r="B8" s="5" t="s">
        <v>276</v>
      </c>
      <c r="C8" s="5" t="s">
        <v>286</v>
      </c>
      <c r="D8" s="12" t="s">
        <v>143</v>
      </c>
      <c r="E8" s="5" t="s">
        <v>14</v>
      </c>
      <c r="F8" s="5" t="s">
        <v>14</v>
      </c>
    </row>
    <row r="9" spans="1:8" ht="15" customHeight="1">
      <c r="A9" s="5" t="s">
        <v>287</v>
      </c>
      <c r="B9" s="5" t="s">
        <v>176</v>
      </c>
      <c r="C9" s="5" t="s">
        <v>288</v>
      </c>
      <c r="D9" s="12" t="s">
        <v>143</v>
      </c>
      <c r="E9" s="5" t="s">
        <v>186</v>
      </c>
      <c r="F9" s="5" t="s">
        <v>14</v>
      </c>
    </row>
    <row r="10" spans="1:8" ht="15" customHeight="1">
      <c r="A10" s="5" t="s">
        <v>289</v>
      </c>
      <c r="B10" s="5" t="s">
        <v>176</v>
      </c>
      <c r="C10" s="5" t="s">
        <v>290</v>
      </c>
      <c r="D10" s="12" t="s">
        <v>14</v>
      </c>
      <c r="E10" s="5" t="s">
        <v>14</v>
      </c>
      <c r="F10" s="5" t="s">
        <v>14</v>
      </c>
    </row>
  </sheetData>
  <hyperlinks>
    <hyperlink ref="H1" location="#'Index'!A1" display="&lt;&lt; Back to Index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Index</vt:lpstr>
      <vt:lpstr>companies</vt:lpstr>
      <vt:lpstr>company_settings</vt:lpstr>
      <vt:lpstr>global_users</vt:lpstr>
      <vt:lpstr>login_activity</vt:lpstr>
      <vt:lpstr>jwt_tokens (global)</vt:lpstr>
      <vt:lpstr>b1_sessions</vt:lpstr>
      <vt:lpstr>schema_migrations</vt:lpstr>
      <vt:lpstr>vendors</vt:lpstr>
      <vt:lpstr>users</vt:lpstr>
      <vt:lpstr>user_approval_stages</vt:lpstr>
      <vt:lpstr>doc_sequences</vt:lpstr>
      <vt:lpstr>sap_warehouses</vt:lpstr>
      <vt:lpstr>sap_items</vt:lpstr>
      <vt:lpstr>sap_item_stock</vt:lpstr>
      <vt:lpstr>sap_vendor_groups</vt:lpstr>
      <vt:lpstr>sap_business_partners</vt:lpstr>
      <vt:lpstr>sap_employees</vt:lpstr>
      <vt:lpstr>sap_tax_codes</vt:lpstr>
      <vt:lpstr>vendor_documents</vt:lpstr>
      <vt:lpstr>approval_steps</vt:lpstr>
      <vt:lpstr>purchase_requests</vt:lpstr>
      <vt:lpstr>purchase_request_lines</vt:lpstr>
      <vt:lpstr>rfqs</vt:lpstr>
      <vt:lpstr>rfq_lines</vt:lpstr>
      <vt:lpstr>rfq_line_sources</vt:lpstr>
      <vt:lpstr>rfq_vendors</vt:lpstr>
      <vt:lpstr>quotations</vt:lpstr>
      <vt:lpstr>quotation_lines</vt:lpstr>
      <vt:lpstr>rfq_awards</vt:lpstr>
      <vt:lpstr>purchase_orders</vt:lpstr>
      <vt:lpstr>purchase_order_lines</vt:lpstr>
      <vt:lpstr>asns</vt:lpstr>
      <vt:lpstr>asn_lines</vt:lpstr>
      <vt:lpstr>grpos</vt:lpstr>
      <vt:lpstr>grpo_lines</vt:lpstr>
      <vt:lpstr>vendor_score_snapshots</vt:lpstr>
      <vt:lpstr>sync_runs</vt:lpstr>
      <vt:lpstr>sync_transactions</vt:lpstr>
      <vt:lpstr>jwt_tokens (tenant)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2026-10-12T09:24:11Z</dcterms:created>
  <dcterms:modified xsi:type="dcterms:W3CDTF">2026-10-12T09:33:50Z</dcterms:modified>
  <cp:category/>
</cp:coreProperties>
</file>